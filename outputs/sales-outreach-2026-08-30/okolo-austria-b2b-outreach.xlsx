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cb3828127f4aac" /></Relationships>
</file>

<file path=xl/workbook.xml><?xml version="1.0" encoding="utf-8"?>
<x:workbook xmlns:x="http://schemas.openxmlformats.org/spreadsheetml/2006/main">
  <x:sheets>
    <x:sheet xmlns:r="http://schemas.openxmlformats.org/officeDocument/2006/relationships" name="Sales Overview" sheetId="1" r:id="Rfb85eddb1deb4722"/>
    <x:sheet xmlns:r="http://schemas.openxmlformats.org/officeDocument/2006/relationships" name="Priority Leads" sheetId="2" r:id="Redfc4e375d564056"/>
    <x:sheet xmlns:r="http://schemas.openxmlformats.org/officeDocument/2006/relationships" name="Visual Assets" sheetId="3" r:id="R68e2bf9b29e94312"/>
    <x:sheet xmlns:r="http://schemas.openxmlformats.org/officeDocument/2006/relationships" name="Outreach Playbook" sheetId="4" r:id="Re56d35c4604e4aa9"/>
    <x:sheet xmlns:r="http://schemas.openxmlformats.org/officeDocument/2006/relationships" name="Email Templates" sheetId="5" r:id="Rbe99568dbfe94b87"/>
    <x:sheet xmlns:r="http://schemas.openxmlformats.org/officeDocument/2006/relationships" name="Audit Summary" sheetId="6" r:id="R7688f0a6659e4ff5"/>
    <x:sheet xmlns:r="http://schemas.openxmlformats.org/officeDocument/2006/relationships" name="Legal &amp; Sources" sheetId="7" r:id="Rccc4cb63880d442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8">
    <x:font>
      <x:sz val="11"/>
      <x:name val="Carlito"/>
    </x:font>
    <x:font>
      <x:b/>
      <x:sz val="22"/>
      <x:color rgb="FFFFFFFF"/>
      <x:name val="Carlito"/>
    </x:font>
    <x:font>
      <x:i/>
      <x:sz val="10"/>
      <x:color rgb="FF1F2937"/>
      <x:name val="Carlito"/>
    </x:font>
    <x:font>
      <x:b/>
      <x:sz val="11"/>
      <x:color rgb="FFFFFFFF"/>
      <x:name val="Carlito"/>
    </x:font>
    <x:font>
      <x:sz val="9"/>
      <x:color rgb="FF1F2937"/>
      <x:name val="Carlito"/>
    </x:font>
    <x:font>
      <x:b/>
      <x:sz val="16"/>
      <x:color rgb="FF16324F"/>
      <x:name val="Carlito"/>
    </x:font>
    <x:font>
      <x:b/>
      <x:sz val="11"/>
      <x:color rgb="FF1F2937"/>
      <x:name val="Carlito"/>
    </x:font>
    <x:font>
      <x:sz val="10"/>
      <x:color rgb="FF1F2937"/>
      <x:name val="Carlito"/>
    </x:font>
    <x:font>
      <x:b/>
      <x:sz val="22"/>
      <x:color rgb="FF1F2937"/>
      <x:name val="Aptos"/>
    </x:font>
    <x:font>
      <x:i/>
      <x:sz val="10"/>
      <x:color rgb="FF1F2937"/>
      <x:name val="Aptos"/>
    </x:font>
    <x:font>
      <x:sz val="11"/>
      <x:color rgb="FF1F2937"/>
      <x:name val="Aptos"/>
    </x:font>
    <x:font>
      <x:b/>
      <x:sz val="11"/>
      <x:color rgb="FF1F2937"/>
      <x:name val="Aptos"/>
    </x:font>
    <x:font>
      <x:sz val="9"/>
      <x:color rgb="FF1F2937"/>
      <x:name val="Aptos"/>
    </x:font>
    <x:font>
      <x:b/>
      <x:sz val="16"/>
      <x:color rgb="FF1F2937"/>
      <x:name val="Aptos"/>
    </x:font>
    <x:font>
      <x:b/>
      <x:sz val="22"/>
      <x:color rgb="FFFFFFFF"/>
      <x:name val="Aptos Display"/>
    </x:font>
    <x:font>
      <x:sz val="10"/>
      <x:color rgb="FF1F2937"/>
      <x:name val="Aptos"/>
    </x:font>
    <x:font>
      <x:b/>
      <x:sz val="11"/>
      <x:color rgb="FFFFFFFF"/>
      <x:name val="Aptos"/>
    </x:font>
    <x:font>
      <x:b/>
      <x:sz val="16"/>
      <x:color rgb="FF16324F"/>
      <x:name val="Aptos Display"/>
    </x:font>
  </x:fonts>
  <x:fills count="7">
    <x:fill>
      <x:patternFill patternType="none"/>
    </x:fill>
    <x:fill>
      <x:patternFill patternType="gray125"/>
    </x:fill>
    <x:fill>
      <x:patternFill patternType="solid">
        <x:fgColor rgb="FF16324F"/>
      </x:patternFill>
    </x:fill>
    <x:fill>
      <x:patternFill patternType="solid">
        <x:fgColor rgb="FFDDF3EE"/>
      </x:patternFill>
    </x:fill>
    <x:fill>
      <x:patternFill patternType="solid">
        <x:fgColor rgb="FFFFF9F0"/>
      </x:patternFill>
    </x:fill>
    <x:fill>
      <x:patternFill patternType="solid">
        <x:fgColor rgb="FFFFF2CC"/>
      </x:patternFill>
    </x:fill>
    <x:fill>
      <x:patternFill patternType="solid">
        <x:fgColor rgb="FF2A7F7F"/>
      </x:patternFill>
    </x:fill>
  </x:fills>
  <x:borders count="10">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xf numFmtId="0" fontId="5"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4" fillId="0" borderId="1" xfId="0" applyNumberFormat="1" applyFont="1" applyFill="1" applyBorder="1" applyAlignment="1">
      <x:alignment horizontal="center" vertical="top" wrapText="1"/>
    </x:xf>
    <x:xf numFmtId="200" fontId="4" fillId="0" borderId="1"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0" fontId="7" fillId="4" borderId="8" xfId="0" applyNumberFormat="1" applyFont="1" applyFill="1" applyBorder="1"/>
    <x:xf numFmtId="0" fontId="7" fillId="4" borderId="9" xfId="0" applyNumberFormat="1" applyFont="1" applyFill="1" applyBorder="1"/>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5"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6" xfId="0" applyNumberFormat="1" applyFont="1" applyFill="1" applyBorder="1" applyAlignment="1">
      <x:alignment wrapText="1"/>
    </x:xf>
    <x:xf numFmtId="0" fontId="7" fillId="4" borderId="7" xfId="0" applyNumberFormat="1" applyFont="1" applyFill="1" applyBorder="1" applyAlignment="1">
      <x:alignment wrapText="1"/>
    </x:xf>
    <x:xf numFmtId="0" fontId="7" fillId="4" borderId="8" xfId="0" applyNumberFormat="1" applyFont="1" applyFill="1" applyBorder="1" applyAlignment="1">
      <x:alignment wrapText="1"/>
    </x:xf>
    <x:xf numFmtId="0" fontId="7" fillId="4" borderId="9" xfId="0" applyNumberFormat="1" applyFont="1" applyFill="1" applyBorder="1" applyAlignment="1">
      <x:alignment wrapText="1"/>
    </x:xf>
    <x:xf numFmtId="0" fontId="7" fillId="4" borderId="2"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7" fillId="4" borderId="6" xfId="0" applyNumberFormat="1" applyFont="1" applyFill="1" applyBorder="1" applyAlignment="1">
      <x:alignment vertical="top" wrapText="1"/>
    </x:xf>
    <x:xf numFmtId="0" fontId="7" fillId="4" borderId="7" xfId="0" applyNumberFormat="1" applyFont="1" applyFill="1" applyBorder="1" applyAlignment="1">
      <x:alignment vertical="top" wrapText="1"/>
    </x:xf>
    <x:xf numFmtId="0" fontId="7" fillId="4" borderId="8" xfId="0" applyNumberFormat="1" applyFont="1" applyFill="1" applyBorder="1" applyAlignment="1">
      <x:alignment vertical="top" wrapText="1"/>
    </x:xf>
    <x:xf numFmtId="0" fontId="7" fillId="4" borderId="9" xfId="0" applyNumberFormat="1" applyFont="1" applyFill="1" applyBorder="1" applyAlignment="1">
      <x:alignment vertical="top" wrapText="1"/>
    </x:xf>
    <x:xf numFmtId="0" fontId="8" fillId="2" borderId="0" xfId="0" applyNumberFormat="1" applyFont="1" applyFill="1" applyBorder="1" applyAlignment="1">
      <x:alignment vertical="center"/>
    </x:xf>
    <x:xf numFmtId="0" fontId="9" fillId="3" borderId="0" xfId="0" applyNumberFormat="1" applyFont="1" applyFill="1" applyBorder="1" applyAlignment="1">
      <x:alignment vertical="center" wrapText="1"/>
    </x:xf>
    <x:xf numFmtId="0" fontId="10" fillId="0" borderId="0" xfId="0" applyNumberFormat="1" applyFont="1" applyFill="1" applyBorder="1"/>
    <x:xf numFmtId="0" fontId="11" fillId="2" borderId="1" xfId="0" applyNumberFormat="1" applyFont="1" applyFill="1" applyBorder="1" applyAlignment="1">
      <x:alignment vertical="center" wrapText="1"/>
    </x:xf>
    <x:xf numFmtId="0" fontId="12" fillId="0" borderId="1" xfId="0" applyNumberFormat="1" applyFont="1" applyFill="1" applyBorder="1" applyAlignment="1">
      <x:alignment vertical="top" wrapText="1"/>
    </x:xf>
    <x:xf numFmtId="0" fontId="13" fillId="4" borderId="1" xfId="0" applyNumberFormat="1" applyFont="1" applyFill="1" applyBorder="1" applyAlignment="1">
      <x:alignment horizontal="center" vertical="center" wrapText="1"/>
    </x:xf>
    <x:xf numFmtId="0" fontId="10" fillId="0" borderId="0" xfId="0" applyNumberFormat="1" applyFont="1" applyFill="1" applyBorder="1" applyAlignment="1">
      <x:alignment wrapText="1"/>
    </x:xf>
    <x:xf numFmtId="0" fontId="14" fillId="2" borderId="0" xfId="0" applyNumberFormat="1" applyFont="1" applyFill="1" applyBorder="1" applyAlignment="1">
      <x:alignment vertical="center"/>
    </x:xf>
    <x:xf numFmtId="0" fontId="11" fillId="5" borderId="0" xfId="0" applyNumberFormat="1" applyFont="1" applyFill="1" applyBorder="1" applyAlignment="1">
      <x:alignment vertical="center" wrapText="1"/>
    </x:xf>
    <x:xf numFmtId="0" fontId="12" fillId="0" borderId="1" xfId="0" applyNumberFormat="1" applyFont="1" applyFill="1" applyBorder="1" applyAlignment="1">
      <x:alignment horizontal="center" vertical="top" wrapText="1"/>
    </x:xf>
    <x:xf numFmtId="200" fontId="12" fillId="0" borderId="1" xfId="0" applyNumberFormat="1" applyFont="1" applyFill="1" applyBorder="1" applyAlignment="1">
      <x:alignment vertical="top" wrapText="1"/>
    </x:xf>
    <x:xf numFmtId="0" fontId="11" fillId="6" borderId="0" xfId="0" applyNumberFormat="1" applyFont="1" applyFill="1" applyBorder="1" applyAlignment="1">
      <x:alignment vertical="center"/>
    </x:xf>
    <x:xf numFmtId="0" fontId="15" fillId="4" borderId="2" xfId="0" applyNumberFormat="1" applyFont="1" applyFill="1" applyBorder="1" applyAlignment="1">
      <x:alignment vertical="top" wrapText="1"/>
    </x:xf>
    <x:xf numFmtId="0" fontId="15" fillId="4" borderId="3" xfId="0" applyNumberFormat="1" applyFont="1" applyFill="1" applyBorder="1" applyAlignment="1">
      <x:alignment vertical="top" wrapText="1"/>
    </x:xf>
    <x:xf numFmtId="0" fontId="15" fillId="4" borderId="4" xfId="0" applyNumberFormat="1" applyFont="1" applyFill="1" applyBorder="1" applyAlignment="1">
      <x:alignment vertical="top" wrapText="1"/>
    </x:xf>
    <x:xf numFmtId="0" fontId="15" fillId="4" borderId="5"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5" fillId="4" borderId="6" xfId="0" applyNumberFormat="1" applyFont="1" applyFill="1" applyBorder="1" applyAlignment="1">
      <x:alignment vertical="top" wrapText="1"/>
    </x:xf>
    <x:xf numFmtId="0" fontId="15" fillId="4" borderId="7" xfId="0" applyNumberFormat="1" applyFont="1" applyFill="1" applyBorder="1" applyAlignment="1">
      <x:alignment vertical="top" wrapText="1"/>
    </x:xf>
    <x:xf numFmtId="0" fontId="15" fillId="4" borderId="8" xfId="0" applyNumberFormat="1" applyFont="1" applyFill="1" applyBorder="1" applyAlignment="1">
      <x:alignment vertical="top" wrapText="1"/>
    </x:xf>
    <x:xf numFmtId="0" fontId="15" fillId="4" borderId="9" xfId="0" applyNumberFormat="1" applyFont="1" applyFill="1" applyBorder="1" applyAlignment="1">
      <x:alignment vertical="top" wrapText="1"/>
    </x:xf>
    <x:xf numFmtId="0" fontId="16" fillId="2" borderId="1" xfId="0" applyNumberFormat="1" applyFont="1" applyFill="1" applyBorder="1" applyAlignment="1">
      <x:alignment vertical="center" wrapText="1"/>
    </x:xf>
    <x:xf numFmtId="0" fontId="16" fillId="6" borderId="0" xfId="0" applyNumberFormat="1" applyFont="1" applyFill="1" applyBorder="1" applyAlignment="1">
      <x:alignment vertical="center"/>
    </x:xf>
    <x:xf numFmtId="0" fontId="17" fillId="4" borderId="1" xfId="0" applyNumberFormat="1" applyFont="1" applyFill="1" applyBorder="1" applyAlignment="1">
      <x:alignment horizontal="center" vertical="center" wrapText="1"/>
    </x:xf>
  </x:cellXfs>
  <x:cellStyles count="1">
    <x:cellStyle name="Normal" xfId="0"/>
  </x:cellStyles>
  <x:dxfs count="5">
    <x:dxf>
      <x:font>
        <x:b/>
        <x:color rgb="FF16324F"/>
      </x:font>
      <x:fill>
        <x:patternFill patternType="solid">
          <x:bgColor rgb="FFE2F0D9"/>
        </x:patternFill>
      </x:fill>
    </x:dxf>
    <x:dxf>
      <x:fill>
        <x:patternFill patternType="solid">
          <x:bgColor rgb="FFFFF2CC"/>
        </x:patternFill>
      </x:fill>
    </x:dxf>
    <x:dxf>
      <x:fill>
        <x:patternFill patternType="solid">
          <x:bgColor rgb="FFFCE4E4"/>
        </x:patternFill>
      </x:fill>
    </x:dxf>
    <x:dxf>
      <x:font>
        <x:b/>
      </x:font>
      <x:fill>
        <x:patternFill patternType="solid">
          <x:bgColor rgb="FFE2F0D9"/>
        </x:patternFill>
      </x:fill>
    </x:dxf>
    <x:dxf>
      <x:font>
        <x:b/>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c38c3a53b44608" /><Relationship Type="http://schemas.openxmlformats.org/officeDocument/2006/relationships/theme" Target="/xl/theme/theme1.xml" Id="Rd4c9467a72bf491f" /><Relationship Type="http://schemas.openxmlformats.org/officeDocument/2006/relationships/sharedStrings" Target="/xl/sharedStrings.xml" Id="Recd8f0f8064549d9" /><Relationship Type="http://schemas.openxmlformats.org/officeDocument/2006/relationships/worksheet" Target="/xl/worksheets/sheet1.xml" Id="Rfb85eddb1deb4722" /><Relationship Type="http://schemas.openxmlformats.org/officeDocument/2006/relationships/worksheet" Target="/xl/worksheets/sheet2.xml" Id="Redfc4e375d564056" /><Relationship Type="http://schemas.openxmlformats.org/officeDocument/2006/relationships/worksheet" Target="/xl/worksheets/sheet3.xml" Id="R68e2bf9b29e94312" /><Relationship Type="http://schemas.openxmlformats.org/officeDocument/2006/relationships/worksheet" Target="/xl/worksheets/sheet4.xml" Id="Re56d35c4604e4aa9" /><Relationship Type="http://schemas.openxmlformats.org/officeDocument/2006/relationships/worksheet" Target="/xl/worksheets/sheet5.xml" Id="Rbe99568dbfe94b87" /><Relationship Type="http://schemas.openxmlformats.org/officeDocument/2006/relationships/worksheet" Target="/xl/worksheets/sheet6.xml" Id="R7688f0a6659e4ff5" /><Relationship Type="http://schemas.openxmlformats.org/officeDocument/2006/relationships/worksheet" Target="/xl/worksheets/sheet7.xml" Id="Rccc4cb63880d442c" /></Relationships>
</file>

<file path=xl/drawings/_rels/drawing1.xml.rels>&#65279;<?xml version="1.0" encoding="utf-8"?><Relationships xmlns="http://schemas.openxmlformats.org/package/2006/relationships"><Relationship Type="http://schemas.openxmlformats.org/officeDocument/2006/relationships/image" Target="/xl/media/image.jpg" Id="R7e87922513f0449b" /><Relationship Type="http://schemas.openxmlformats.org/officeDocument/2006/relationships/image" Target="/xl/media/image2.jpg" Id="R4dc06ebb783441a1" /><Relationship Type="http://schemas.openxmlformats.org/officeDocument/2006/relationships/image" Target="/xl/media/image3.jpg" Id="Rd893d1c8dec3457d" /><Relationship Type="http://schemas.openxmlformats.org/officeDocument/2006/relationships/image" Target="/xl/media/image4.jpg" Id="R3e991b4d03a64e11" /></Relationships>
</file>

<file path=xl/drawings/drawing1.xml><?xml version="1.0" encoding="utf-8"?>
<xdr:wsDr xmlns:xdr="http://schemas.openxmlformats.org/drawingml/2006/spreadsheetDrawing">
  <xdr:oneCellAnchor>
    <xdr:from>
      <xdr:col>0</xdr:col>
      <xdr:colOff>0</xdr:colOff>
      <xdr:row>3</xdr:row>
      <xdr:rowOff>0</xdr:rowOff>
    </xdr:from>
    <xdr:ext cx="4762500" cy="2676525"/>
    <xdr:pic>
      <xdr:nvPicPr>
        <xdr:cNvPr id="1" name="42e5e6d8-459a-4a24-ba9f-5d0b95a3b6ba"/>
        <xdr:cNvPicPr>
          <a:picLocks xmlns:a="http://schemas.openxmlformats.org/drawingml/2006/main" noChangeAspect="1"/>
        </xdr:cNvPicPr>
      </xdr:nvPicPr>
      <xdr:blipFill>
        <a:blip xmlns:r="http://schemas.openxmlformats.org/officeDocument/2006/relationships" xmlns:a="http://schemas.openxmlformats.org/drawingml/2006/main" r:embed="R7e87922513f0449b"/>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3</xdr:row>
      <xdr:rowOff>0</xdr:rowOff>
    </xdr:from>
    <xdr:ext cx="4762500" cy="2676525"/>
    <xdr:pic>
      <xdr:nvPicPr>
        <xdr:cNvPr id="2" name="aa6cfd5c-e537-41d6-a4f9-6fe2a821e847"/>
        <xdr:cNvPicPr>
          <a:picLocks xmlns:a="http://schemas.openxmlformats.org/drawingml/2006/main" noChangeAspect="1"/>
        </xdr:cNvPicPr>
      </xdr:nvPicPr>
      <xdr:blipFill>
        <a:blip xmlns:r="http://schemas.openxmlformats.org/officeDocument/2006/relationships" xmlns:a="http://schemas.openxmlformats.org/drawingml/2006/main" r:embed="R4dc06ebb783441a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21</xdr:row>
      <xdr:rowOff>0</xdr:rowOff>
    </xdr:from>
    <xdr:ext cx="4762500" cy="2676525"/>
    <xdr:pic>
      <xdr:nvPicPr>
        <xdr:cNvPr id="3" name="940f96b6-7467-4bec-a6e2-331f8e71c2e3"/>
        <xdr:cNvPicPr>
          <a:picLocks xmlns:a="http://schemas.openxmlformats.org/drawingml/2006/main" noChangeAspect="1"/>
        </xdr:cNvPicPr>
      </xdr:nvPicPr>
      <xdr:blipFill>
        <a:blip xmlns:r="http://schemas.openxmlformats.org/officeDocument/2006/relationships" xmlns:a="http://schemas.openxmlformats.org/drawingml/2006/main" r:embed="Rd893d1c8dec3457d"/>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21</xdr:row>
      <xdr:rowOff>0</xdr:rowOff>
    </xdr:from>
    <xdr:ext cx="4762500" cy="2676525"/>
    <xdr:pic>
      <xdr:nvPicPr>
        <xdr:cNvPr id="4" name="91ec490a-561d-4f1e-b41a-1a57e863d511"/>
        <xdr:cNvPicPr>
          <a:picLocks xmlns:a="http://schemas.openxmlformats.org/drawingml/2006/main" noChangeAspect="1"/>
        </xdr:cNvPicPr>
      </xdr:nvPicPr>
      <xdr:blipFill>
        <a:blip xmlns:r="http://schemas.openxmlformats.org/officeDocument/2006/relationships" xmlns:a="http://schemas.openxmlformats.org/drawingml/2006/main" r:embed="R3e991b4d03a64e11"/>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OkoloAustriaProspects" displayName="OkoloAustriaProspects" ref="A5:Q59" headerRowCount="1" totalsRowCount="0" totalsRowShown="0">
  <x:autoFilter ref="A5:Q59"/>
  <x:tableColumns count="17">
    <x:tableColumn id="1" name="Rank"/>
    <x:tableColumn id="2" name="Priority"/>
    <x:tableColumn id="3" name="Organisation"/>
    <x:tableColumn id="4" name="Segment"/>
    <x:tableColumn id="5" name="Region"/>
    <x:tableColumn id="6" name="Fit / use case"/>
    <x:tableColumn id="7" name="Recommended offer"/>
    <x:tableColumn id="8" name="Target role"/>
    <x:tableColumn id="9" name="Public email"/>
    <x:tableColumn id="10" name="Contact / form URL"/>
    <x:tableColumn id="11" name="Website"/>
    <x:tableColumn id="12" name="Permission signal"/>
    <x:tableColumn id="13" name="Recommended first route"/>
    <x:tableColumn id="14" name="Personalisation hook"/>
    <x:tableColumn id="15" name="Research status"/>
    <x:tableColumn id="16" name="Last verified"/>
    <x:tableColumn id="17"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3f25bba97d4693" /></Relationships>
</file>

<file path=xl/worksheets/_rels/sheet3.xml.rels>&#65279;<?xml version="1.0" encoding="utf-8"?><Relationships xmlns="http://schemas.openxmlformats.org/package/2006/relationships"><Relationship Type="http://schemas.openxmlformats.org/officeDocument/2006/relationships/drawing" Target="/xl/drawings/drawing1.xml" Id="R93034fa26c8148a4"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20" hidden="0" customWidth="1"/>
    <x:col min="3" max="3" width="42" hidden="0" customWidth="1"/>
    <x:col min="4" max="4" width="42" hidden="0" customWidth="1"/>
  </x:cols>
  <x:sheetData>
    <x:row r="1" ht="34" customHeight="1">
      <x:c r="A1" s="65" t="str">
        <x:v>Okolo — Austria B2B Outreach Workbook</x:v>
      </x:c>
      <x:c r="B1" s="65" t="str">
        <x:v>Okolo — Austria B2B Outreach Workbook</x:v>
      </x:c>
      <x:c r="C1" s="65" t="str">
        <x:v>Okolo — Austria B2B Outreach Workbook</x:v>
      </x:c>
      <x:c r="D1" s="65" t="str">
        <x:v>Okolo — Austria B2B Outreach Workbook</x:v>
      </x:c>
      <x:c r="E1" s="65" t="str">
        <x:v>Okolo — Austria B2B Outreach Workbook</x:v>
      </x:c>
      <x:c r="F1" s="65" t="str">
        <x:v>Okolo — Austria B2B Outreach Workbook</x:v>
      </x:c>
      <x:c r="G1" s="65" t="str">
        <x:v>Okolo — Austria B2B Outreach Workbook</x:v>
      </x:c>
      <x:c r="H1" s="65" t="str">
        <x:v>Okolo — Austria B2B Outreach Workbook</x:v>
      </x:c>
      <x:c r="I1" s="65" t="str">
        <x:v>Okolo — Austria B2B Outreach Workbook</x:v>
      </x:c>
      <x:c r="J1" s="65" t="str">
        <x:v>Okolo — Austria B2B Outreach Workbook</x:v>
      </x:c>
      <x:c r="K1" s="65" t="str">
        <x:v>Okolo — Austria B2B Outreach Workbook</x:v>
      </x:c>
      <x:c r="L1" s="65" t="str">
        <x:v>Okolo — Austria B2B Outreach Workbook</x:v>
      </x:c>
      <x:c r="M1" s="65" t="str">
        <x:v>Okolo — Austria B2B Outreach Workbook</x:v>
      </x:c>
      <x:c r="N1" s="65" t="str">
        <x:v>Okolo — Austria B2B Outreach Workbook</x:v>
      </x:c>
    </x:row>
    <x:row r="2" ht="30" customHeight="1">
      <x:c r="A2" s="59" t="str">
        <x:v>Qualified prospect research, sales positioning, visual proof and consent-safe outreach materials. Prepared 30 August 2026.</x:v>
      </x:c>
      <x:c r="B2" s="59" t="str">
        <x:v>Qualified prospect research, sales positioning, visual proof and consent-safe outreach materials. Prepared 30 August 2026.</x:v>
      </x:c>
      <x:c r="C2" s="59" t="str">
        <x:v>Qualified prospect research, sales positioning, visual proof and consent-safe outreach materials. Prepared 30 August 2026.</x:v>
      </x:c>
      <x:c r="D2" s="59" t="str">
        <x:v>Qualified prospect research, sales positioning, visual proof and consent-safe outreach materials. Prepared 30 August 2026.</x:v>
      </x:c>
      <x:c r="E2" s="59" t="str">
        <x:v>Qualified prospect research, sales positioning, visual proof and consent-safe outreach materials. Prepared 30 August 2026.</x:v>
      </x:c>
      <x:c r="F2" s="59" t="str">
        <x:v>Qualified prospect research, sales positioning, visual proof and consent-safe outreach materials. Prepared 30 August 2026.</x:v>
      </x:c>
      <x:c r="G2" s="59" t="str">
        <x:v>Qualified prospect research, sales positioning, visual proof and consent-safe outreach materials. Prepared 30 August 2026.</x:v>
      </x:c>
      <x:c r="H2" s="59" t="str">
        <x:v>Qualified prospect research, sales positioning, visual proof and consent-safe outreach materials. Prepared 30 August 2026.</x:v>
      </x:c>
      <x:c r="I2" s="59" t="str">
        <x:v>Qualified prospect research, sales positioning, visual proof and consent-safe outreach materials. Prepared 30 August 2026.</x:v>
      </x:c>
      <x:c r="J2" s="59" t="str">
        <x:v>Qualified prospect research, sales positioning, visual proof and consent-safe outreach materials. Prepared 30 August 2026.</x:v>
      </x:c>
      <x:c r="K2" s="59" t="str">
        <x:v>Qualified prospect research, sales positioning, visual proof and consent-safe outreach materials. Prepared 30 August 2026.</x:v>
      </x:c>
      <x:c r="L2" s="59" t="str">
        <x:v>Qualified prospect research, sales positioning, visual proof and consent-safe outreach materials. Prepared 30 August 2026.</x:v>
      </x:c>
      <x:c r="M2" s="59" t="str">
        <x:v>Qualified prospect research, sales positioning, visual proof and consent-safe outreach materials. Prepared 30 August 2026.</x:v>
      </x:c>
      <x:c r="N2" s="59" t="str">
        <x:v>Qualified prospect research, sales positioning, visual proof and consent-safe outreach materials. Prepared 30 August 2026.</x:v>
      </x:c>
    </x:row>
    <x:row r="3">
      <x:c r="A3" s="60"/>
      <x:c r="B3" s="60"/>
      <x:c r="C3" s="60"/>
      <x:c r="D3" s="60"/>
      <x:c r="E3" s="60"/>
      <x:c r="F3" s="60"/>
      <x:c r="G3" s="60"/>
      <x:c r="H3" s="60"/>
      <x:c r="I3" s="60"/>
      <x:c r="J3" s="60"/>
      <x:c r="K3" s="60"/>
      <x:c r="L3" s="60"/>
      <x:c r="M3" s="60"/>
      <x:c r="N3" s="60"/>
    </x:row>
    <x:row r="4" ht="32" customHeight="1">
      <x:c r="A4" s="79" t="str">
        <x:v>Portfolio</x:v>
      </x:c>
      <x:c r="B4" s="79" t="str">
        <x:v>Value</x:v>
      </x:c>
      <x:c r="C4" s="79" t="str">
        <x:v>Interpretation</x:v>
      </x:c>
      <x:c r="D4" s="79" t="str">
        <x:v>Action</x:v>
      </x:c>
      <x:c r="E4" s="60"/>
      <x:c r="F4" s="60"/>
      <x:c r="G4" s="60"/>
      <x:c r="H4" s="60"/>
      <x:c r="I4" s="60"/>
      <x:c r="J4" s="60"/>
      <x:c r="K4" s="60"/>
      <x:c r="L4" s="60"/>
      <x:c r="M4" s="60"/>
      <x:c r="N4" s="60"/>
    </x:row>
    <x:row r="5">
      <x:c r="A5" s="62" t="str">
        <x:v>Qualified organisations</x:v>
      </x:c>
      <x:c r="B5" s="81" t="n">
        <x:f>COUNTA('Priority Leads'!$C$6:$C$59)</x:f>
        <x:v>54</x:v>
      </x:c>
      <x:c r="C5" s="62" t="str">
        <x:v>Verified research rows; not a bulk-send list</x:v>
      </x:c>
      <x:c r="D5" s="62" t="str">
        <x:v>Qualify and personalise before contact</x:v>
      </x:c>
      <x:c r="E5" s="60"/>
      <x:c r="F5" s="60"/>
      <x:c r="G5" s="60"/>
      <x:c r="H5" s="60"/>
      <x:c r="I5" s="60"/>
      <x:c r="J5" s="60"/>
      <x:c r="K5" s="60"/>
      <x:c r="L5" s="60"/>
      <x:c r="M5" s="60"/>
      <x:c r="N5" s="60"/>
    </x:row>
    <x:row r="6">
      <x:c r="A6" s="62" t="str">
        <x:v>P1 leads</x:v>
      </x:c>
      <x:c r="B6" s="81" t="n">
        <x:f>COUNTIF('Priority Leads'!$B$6:$B$59,"P1")</x:f>
        <x:v>21</x:v>
      </x:c>
      <x:c r="C6" s="62" t="str">
        <x:v>Best fit, geography or access</x:v>
      </x:c>
      <x:c r="D6" s="62" t="str">
        <x:v>Start with warm routes and explicit partner channels</x:v>
      </x:c>
      <x:c r="E6" s="60"/>
      <x:c r="F6" s="60"/>
      <x:c r="G6" s="60"/>
      <x:c r="H6" s="60"/>
      <x:c r="I6" s="60"/>
      <x:c r="J6" s="60"/>
      <x:c r="K6" s="60"/>
      <x:c r="L6" s="60"/>
      <x:c r="M6" s="60"/>
      <x:c r="N6" s="60"/>
    </x:row>
    <x:row r="7">
      <x:c r="A7" s="62" t="str">
        <x:v>Explicit partnership channels</x:v>
      </x:c>
      <x:c r="B7" s="81" t="n">
        <x:f>COUNTIF('Priority Leads'!$L$6:$L$59,"Explicit partnership channel")</x:f>
        <x:v>5</x:v>
      </x:c>
      <x:c r="C7" s="62" t="str">
        <x:v>The organisation invites partnership proposals</x:v>
      </x:c>
      <x:c r="D7" s="62" t="str">
        <x:v>Confirm that the stated purpose covers this proposal</x:v>
      </x:c>
      <x:c r="E7" s="60"/>
      <x:c r="F7" s="60"/>
      <x:c r="G7" s="60"/>
      <x:c r="H7" s="60"/>
      <x:c r="I7" s="60"/>
      <x:c r="J7" s="60"/>
      <x:c r="K7" s="60"/>
      <x:c r="L7" s="60"/>
      <x:c r="M7" s="60"/>
      <x:c r="N7" s="60"/>
    </x:row>
    <x:row r="8">
      <x:c r="A8" s="62" t="str">
        <x:v>Managed-map prospects</x:v>
      </x:c>
      <x:c r="B8" s="81" t="n">
        <x:f>COUNTIF('Priority Leads'!$G$6:$G$59,"Managed programme-map pilot")+COUNTIF('Priority Leads'!$G$6:$G$59,"Managed multi-venue pilot")+COUNTIF('Priority Leads'!$G$6:$G$59,"Managed campus-map pilot")+COUNTIF('Priority Leads'!$G$6:$G$59,"Managed event-map pilot")+COUNTIF('Priority Leads'!$G$6:$G$59,"Managed venue-programme pilot")+COUNTIF('Priority Leads'!$G$6:$G$59,"Managed seasonal-map pilot")+COUNTIF('Priority Leads'!$G$6:$G$59,"Managed convention-map pilot")</x:f>
        <x:v>33</x:v>
      </x:c>
      <x:c r="C8" s="62" t="str">
        <x:v>Primary commercial offer</x:v>
      </x:c>
      <x:c r="D8" s="62" t="str">
        <x:v>Sell a small managed pilot</x:v>
      </x:c>
      <x:c r="E8" s="60"/>
      <x:c r="F8" s="60"/>
      <x:c r="G8" s="60"/>
      <x:c r="H8" s="60"/>
      <x:c r="I8" s="60"/>
      <x:c r="J8" s="60"/>
      <x:c r="K8" s="60"/>
      <x:c r="L8" s="60"/>
      <x:c r="M8" s="60"/>
      <x:c r="N8" s="60"/>
    </x:row>
    <x:row r="9">
      <x:c r="A9" s="62" t="str">
        <x:v>Data/distribution prospects</x:v>
      </x:c>
      <x:c r="B9" s="81" t="n">
        <x:f>COUNTIF('Priority Leads'!$G$6:$G$59,"Authorised data/distribution partnership")+COUNTIF('Priority Leads'!$G$6:$G$59,"Distribution + approved data partnership")+COUNTIF('Priority Leads'!$G$6:$G$59,"Authorised integration / referral partnership")+COUNTIF('Priority Leads'!$G$6:$G$59,"Referral / approved data partnership")</x:f>
        <x:v>14</x:v>
      </x:c>
      <x:c r="C9" s="62" t="str">
        <x:v>Separate partnership motion</x:v>
      </x:c>
      <x:c r="D9" s="62" t="str">
        <x:v>Agree rights, refresh and source linkback before automation</x:v>
      </x:c>
      <x:c r="E9" s="60"/>
      <x:c r="F9" s="60"/>
      <x:c r="G9" s="60"/>
      <x:c r="H9" s="60"/>
      <x:c r="I9" s="60"/>
      <x:c r="J9" s="60"/>
      <x:c r="K9" s="60"/>
      <x:c r="L9" s="60"/>
      <x:c r="M9" s="60"/>
      <x:c r="N9" s="60"/>
    </x:row>
    <x:row r="10">
      <x:c r="A10" s="62" t="str">
        <x:v>Records needing contact re-verification</x:v>
      </x:c>
      <x:c r="B10" s="81" t="n">
        <x:f>COUNTIF('Priority Leads'!$O$6:$O$59,"Needs contact re-verification")</x:f>
        <x:v>2</x:v>
      </x:c>
      <x:c r="C10" s="62" t="str">
        <x:v>Do not use stale or guessed addresses</x:v>
      </x:c>
      <x:c r="D10" s="62" t="str">
        <x:v>Re-check the current official site</x:v>
      </x:c>
      <x:c r="E10" s="60"/>
      <x:c r="F10" s="60"/>
      <x:c r="G10" s="60"/>
      <x:c r="H10" s="60"/>
      <x:c r="I10" s="60"/>
      <x:c r="J10" s="60"/>
      <x:c r="K10" s="60"/>
      <x:c r="L10" s="60"/>
      <x:c r="M10" s="60"/>
      <x:c r="N10" s="60"/>
    </x:row>
    <x:row r="11">
      <x:c r="A11" s="64"/>
      <x:c r="B11" s="64"/>
      <x:c r="C11" s="64"/>
      <x:c r="D11" s="64"/>
      <x:c r="E11" s="60"/>
      <x:c r="F11" s="60"/>
      <x:c r="G11" s="60"/>
      <x:c r="H11" s="60"/>
      <x:c r="I11" s="60"/>
      <x:c r="J11" s="60"/>
      <x:c r="K11" s="60"/>
      <x:c r="L11" s="60"/>
      <x:c r="M11" s="60"/>
      <x:c r="N11" s="60"/>
    </x:row>
    <x:row r="12" ht="32" customHeight="1">
      <x:c r="A12" s="79" t="str">
        <x:v>Recommended order</x:v>
      </x:c>
      <x:c r="B12" s="79" t="str">
        <x:v>Offer</x:v>
      </x:c>
      <x:c r="C12" s="79" t="str">
        <x:v>Proof to show</x:v>
      </x:c>
      <x:c r="D12" s="79" t="str">
        <x:v>Do not claim</x:v>
      </x:c>
      <x:c r="E12" s="60"/>
      <x:c r="F12" s="60"/>
      <x:c r="G12" s="60"/>
      <x:c r="H12" s="60"/>
      <x:c r="I12" s="60"/>
      <x:c r="J12" s="60"/>
      <x:c r="K12" s="60"/>
      <x:c r="L12" s="60"/>
      <x:c r="M12" s="60"/>
      <x:c r="N12" s="60"/>
    </x:row>
    <x:row r="13">
      <x:c r="A13" s="62" t="str">
        <x:v>1</x:v>
      </x:c>
      <x:c r="B13" s="62" t="str">
        <x:v>Managed programme-map pilot</x:v>
      </x:c>
      <x:c r="C13" s="62" t="str">
        <x:v>Partner page + fictional interactive demo + live map</x:v>
      </x:c>
      <x:c r="D13" s="62" t="str">
        <x:v>A real customer case study, guaranteed reach, ticket sales</x:v>
      </x:c>
      <x:c r="E13" s="60"/>
      <x:c r="F13" s="60"/>
      <x:c r="G13" s="60"/>
      <x:c r="H13" s="60"/>
      <x:c r="I13" s="60"/>
      <x:c r="J13" s="60"/>
      <x:c r="K13" s="60"/>
      <x:c r="L13" s="60"/>
      <x:c r="M13" s="60"/>
      <x:c r="N13" s="60"/>
    </x:row>
    <x:row r="14">
      <x:c r="A14" s="62" t="str">
        <x:v>2</x:v>
      </x:c>
      <x:c r="B14" s="62" t="str">
        <x:v>Upper Austria data/distribution partnership</x:v>
      </x:c>
      <x:c r="C14" s="62" t="str">
        <x:v>Source linkback, city pages, weekend discovery</x:v>
      </x:c>
      <x:c r="D14" s="62" t="str">
        <x:v>Permission to ingest a platform without an agreement</x:v>
      </x:c>
      <x:c r="E14" s="60"/>
      <x:c r="F14" s="60"/>
      <x:c r="G14" s="60"/>
      <x:c r="H14" s="60"/>
      <x:c r="I14" s="60"/>
      <x:c r="J14" s="60"/>
      <x:c r="K14" s="60"/>
      <x:c r="L14" s="60"/>
      <x:c r="M14" s="60"/>
      <x:c r="N14" s="60"/>
    </x:row>
    <x:row r="15">
      <x:c r="A15" s="62" t="str">
        <x:v>3</x:v>
      </x:c>
      <x:c r="B15" s="62" t="str">
        <x:v>Family/distribution co-pilot</x:v>
      </x:c>
      <x:c r="C15" s="62" t="str">
        <x:v>Families-first filters and regional validation plan</x:v>
      </x:c>
      <x:c r="D15" s="62" t="str">
        <x:v>National traction before four-weekend proof</x:v>
      </x:c>
      <x:c r="E15" s="60"/>
      <x:c r="F15" s="60"/>
      <x:c r="G15" s="60"/>
      <x:c r="H15" s="60"/>
      <x:c r="I15" s="60"/>
      <x:c r="J15" s="60"/>
      <x:c r="K15" s="60"/>
      <x:c r="L15" s="60"/>
      <x:c r="M15" s="60"/>
      <x:c r="N15" s="60"/>
    </x:row>
    <x:row r="16">
      <x:c r="A16" s="62" t="str">
        <x:v>4</x:v>
      </x:c>
      <x:c r="B16" s="62" t="str">
        <x:v>Convention/event-tech pilot</x:v>
      </x:c>
      <x:c r="C16" s="62" t="str">
        <x:v>Dedicated URL, filters, venues and aggregate referrals</x:v>
      </x:c>
      <x:c r="D16" s="62" t="str">
        <x:v>A self-service organiser dashboard</x:v>
      </x:c>
      <x:c r="E16" s="60"/>
      <x:c r="F16" s="60"/>
      <x:c r="G16" s="60"/>
      <x:c r="H16" s="60"/>
      <x:c r="I16" s="60"/>
      <x:c r="J16" s="60"/>
      <x:c r="K16" s="60"/>
      <x:c r="L16" s="60"/>
      <x:c r="M16" s="60"/>
      <x:c r="N16" s="60"/>
    </x:row>
    <x:row r="17">
      <x:c r="A17" s="64"/>
      <x:c r="B17" s="64"/>
      <x:c r="C17" s="64"/>
      <x:c r="D17" s="64"/>
      <x:c r="E17" s="60"/>
      <x:c r="F17" s="60"/>
      <x:c r="G17" s="60"/>
      <x:c r="H17" s="60"/>
      <x:c r="I17" s="60"/>
      <x:c r="J17" s="60"/>
      <x:c r="K17" s="60"/>
      <x:c r="L17" s="60"/>
      <x:c r="M17" s="60"/>
      <x:c r="N17" s="60"/>
    </x:row>
    <x:row r="18" ht="32" customHeight="1">
      <x:c r="A18" s="79" t="str">
        <x:v>Immediate next step</x:v>
      </x:c>
      <x:c r="B18" s="79" t="str">
        <x:v>Owner</x:v>
      </x:c>
      <x:c r="C18" s="79" t="str">
        <x:v>Evidence needed</x:v>
      </x:c>
      <x:c r="D18" s="79" t="str">
        <x:v>Status</x:v>
      </x:c>
      <x:c r="E18" s="60"/>
      <x:c r="F18" s="60"/>
      <x:c r="G18" s="60"/>
      <x:c r="H18" s="60"/>
      <x:c r="I18" s="60"/>
      <x:c r="J18" s="60"/>
      <x:c r="K18" s="60"/>
      <x:c r="L18" s="60"/>
      <x:c r="M18" s="60"/>
      <x:c r="N18" s="60"/>
    </x:row>
    <x:row r="19">
      <x:c r="A19" s="62" t="str">
        <x:v>Choose five P1 organisations with a warm or explicit route</x:v>
      </x:c>
      <x:c r="B19" s="62" t="str">
        <x:v>George</x:v>
      </x:c>
      <x:c r="C19" s="62" t="str">
        <x:v>Relationship or route confirmed</x:v>
      </x:c>
      <x:c r="D19" s="62" t="str">
        <x:v>Not started</x:v>
      </x:c>
      <x:c r="E19" s="60"/>
      <x:c r="F19" s="60"/>
      <x:c r="G19" s="60"/>
      <x:c r="H19" s="60"/>
      <x:c r="I19" s="60"/>
      <x:c r="J19" s="60"/>
      <x:c r="K19" s="60"/>
      <x:c r="L19" s="60"/>
      <x:c r="M19" s="60"/>
      <x:c r="N19" s="60"/>
    </x:row>
    <x:row r="20">
      <x:c r="A20" s="62" t="str">
        <x:v>Approve pilot pricing model</x:v>
      </x:c>
      <x:c r="B20" s="62" t="str">
        <x:v>George</x:v>
      </x:c>
      <x:c r="C20" s="62" t="str">
        <x:v>Scope and delivery cost</x:v>
      </x:c>
      <x:c r="D20" s="62" t="str">
        <x:v>Decision required</x:v>
      </x:c>
      <x:c r="E20" s="60"/>
      <x:c r="F20" s="60"/>
      <x:c r="G20" s="60"/>
      <x:c r="H20" s="60"/>
      <x:c r="I20" s="60"/>
      <x:c r="J20" s="60"/>
      <x:c r="K20" s="60"/>
      <x:c r="L20" s="60"/>
      <x:c r="M20" s="60"/>
      <x:c r="N20" s="60"/>
    </x:row>
    <x:row r="21">
      <x:c r="A21" s="62" t="str">
        <x:v>Create one-page tailored pilot sketch for first lead</x:v>
      </x:c>
      <x:c r="B21" s="62" t="str">
        <x:v>Okolo</x:v>
      </x:c>
      <x:c r="C21" s="62" t="str">
        <x:v>Programme, venues, launch date</x:v>
      </x:c>
      <x:c r="D21" s="62" t="str">
        <x:v>Ready after lead selection</x:v>
      </x:c>
      <x:c r="E21" s="60"/>
      <x:c r="F21" s="60"/>
      <x:c r="G21" s="60"/>
      <x:c r="H21" s="60"/>
      <x:c r="I21" s="60"/>
      <x:c r="J21" s="60"/>
      <x:c r="K21" s="60"/>
      <x:c r="L21" s="60"/>
      <x:c r="M21" s="60"/>
      <x:c r="N21" s="60"/>
    </x:row>
    <x:row r="22">
      <x:c r="A22" s="62" t="str">
        <x:v>Get Austrian outreach process reviewed</x:v>
      </x:c>
      <x:c r="B22" s="62" t="str">
        <x:v>George / counsel or WKO</x:v>
      </x:c>
      <x:c r="C22" s="62" t="str">
        <x:v>TKG/ECG process and suppression controls</x:v>
      </x:c>
      <x:c r="D22" s="62" t="str">
        <x:v>Required before sending</x:v>
      </x:c>
      <x:c r="E22" s="60"/>
      <x:c r="F22" s="60"/>
      <x:c r="G22" s="60"/>
      <x:c r="H22" s="60"/>
      <x:c r="I22" s="60"/>
      <x:c r="J22" s="60"/>
      <x:c r="K22" s="60"/>
      <x:c r="L22" s="60"/>
      <x:c r="M22" s="60"/>
      <x:c r="N22" s="60"/>
    </x:row>
    <x:row r="23">
      <x:c r="A23" s="62" t="str">
        <x:v>Run first pilot and publish a real reference with permission</x:v>
      </x:c>
      <x:c r="B23" s="62" t="str">
        <x:v>Okolo + partner</x:v>
      </x:c>
      <x:c r="C23" s="62" t="str">
        <x:v>Measured period, caveats and partner approval</x:v>
      </x:c>
      <x:c r="D23" s="62" t="str">
        <x:v>Future proof point</x:v>
      </x:c>
      <x:c r="E23" s="60"/>
      <x:c r="F23" s="60"/>
      <x:c r="G23" s="60"/>
      <x:c r="H23" s="60"/>
      <x:c r="I23" s="60"/>
      <x:c r="J23" s="60"/>
      <x:c r="K23" s="60"/>
      <x:c r="L23" s="60"/>
      <x:c r="M23" s="60"/>
      <x:c r="N23" s="60"/>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9" hidden="0" customWidth="1"/>
    <x:col min="3" max="3" width="31" hidden="0" customWidth="1"/>
    <x:col min="4" max="4" width="23" hidden="0" customWidth="1"/>
    <x:col min="5" max="5" width="17" hidden="0" customWidth="1"/>
    <x:col min="6" max="6" width="38" hidden="0" customWidth="1"/>
    <x:col min="7" max="7" width="29" hidden="0" customWidth="1"/>
    <x:col min="8" max="8" width="27" hidden="0" customWidth="1"/>
    <x:col min="9" max="9" width="29" hidden="0" customWidth="1"/>
    <x:col min="10" max="10" width="35" hidden="0" customWidth="1"/>
    <x:col min="11" max="11" width="30" hidden="0" customWidth="1"/>
    <x:col min="12" max="12" width="38" hidden="0" customWidth="1"/>
    <x:col min="13" max="13" width="38" hidden="0" customWidth="1"/>
    <x:col min="14" max="14" width="48" hidden="0" customWidth="1"/>
    <x:col min="15" max="15" width="23" hidden="0" customWidth="1"/>
    <x:col min="16" max="16" width="13" hidden="0" customWidth="1"/>
    <x:col min="17" max="17" width="36" hidden="0" customWidth="1"/>
  </x:cols>
  <x:sheetData>
    <x:row r="1" ht="34" customHeight="1">
      <x:c r="A1" s="65" t="str">
        <x:v>Priority Leads — Austria</x:v>
      </x:c>
      <x:c r="B1" s="65" t="str">
        <x:v>Priority Leads — Austria</x:v>
      </x:c>
      <x:c r="C1" s="65" t="str">
        <x:v>Priority Leads — Austria</x:v>
      </x:c>
      <x:c r="D1" s="65" t="str">
        <x:v>Priority Leads — Austria</x:v>
      </x:c>
      <x:c r="E1" s="65" t="str">
        <x:v>Priority Leads — Austria</x:v>
      </x:c>
      <x:c r="F1" s="65" t="str">
        <x:v>Priority Leads — Austria</x:v>
      </x:c>
      <x:c r="G1" s="65" t="str">
        <x:v>Priority Leads — Austria</x:v>
      </x:c>
      <x:c r="H1" s="65" t="str">
        <x:v>Priority Leads — Austria</x:v>
      </x:c>
      <x:c r="I1" s="65" t="str">
        <x:v>Priority Leads — Austria</x:v>
      </x:c>
      <x:c r="J1" s="65" t="str">
        <x:v>Priority Leads — Austria</x:v>
      </x:c>
      <x:c r="K1" s="65" t="str">
        <x:v>Priority Leads — Austria</x:v>
      </x:c>
      <x:c r="L1" s="65" t="str">
        <x:v>Priority Leads — Austria</x:v>
      </x:c>
      <x:c r="M1" s="65" t="str">
        <x:v>Priority Leads — Austria</x:v>
      </x:c>
      <x:c r="N1" s="65" t="str">
        <x:v>Priority Leads — Austria</x:v>
      </x:c>
      <x:c r="O1" s="58" t="str">
        <x:v>Priority Leads — Austria</x:v>
      </x:c>
      <x:c r="P1" s="58" t="str">
        <x:v>Priority Leads — Austria</x:v>
      </x:c>
      <x:c r="Q1" s="58" t="str">
        <x:v>Priority Leads — Austria</x:v>
      </x:c>
    </x:row>
    <x:row r="2" ht="30" customHeight="1">
      <x:c r="A2" s="59" t="str">
        <x:v>Public contact research does not establish consent. Filter by priority, segment, route and status; re-verify every contact immediately before use.</x:v>
      </x:c>
      <x:c r="B2" s="59" t="str">
        <x:v>Public contact research does not establish consent. Filter by priority, segment, route and status; re-verify every contact immediately before use.</x:v>
      </x:c>
      <x:c r="C2" s="59" t="str">
        <x:v>Public contact research does not establish consent. Filter by priority, segment, route and status; re-verify every contact immediately before use.</x:v>
      </x:c>
      <x:c r="D2" s="59" t="str">
        <x:v>Public contact research does not establish consent. Filter by priority, segment, route and status; re-verify every contact immediately before use.</x:v>
      </x:c>
      <x:c r="E2" s="59" t="str">
        <x:v>Public contact research does not establish consent. Filter by priority, segment, route and status; re-verify every contact immediately before use.</x:v>
      </x:c>
      <x:c r="F2" s="59" t="str">
        <x:v>Public contact research does not establish consent. Filter by priority, segment, route and status; re-verify every contact immediately before use.</x:v>
      </x:c>
      <x:c r="G2" s="59" t="str">
        <x:v>Public contact research does not establish consent. Filter by priority, segment, route and status; re-verify every contact immediately before use.</x:v>
      </x:c>
      <x:c r="H2" s="59" t="str">
        <x:v>Public contact research does not establish consent. Filter by priority, segment, route and status; re-verify every contact immediately before use.</x:v>
      </x:c>
      <x:c r="I2" s="59" t="str">
        <x:v>Public contact research does not establish consent. Filter by priority, segment, route and status; re-verify every contact immediately before use.</x:v>
      </x:c>
      <x:c r="J2" s="59" t="str">
        <x:v>Public contact research does not establish consent. Filter by priority, segment, route and status; re-verify every contact immediately before use.</x:v>
      </x:c>
      <x:c r="K2" s="59" t="str">
        <x:v>Public contact research does not establish consent. Filter by priority, segment, route and status; re-verify every contact immediately before use.</x:v>
      </x:c>
      <x:c r="L2" s="59" t="str">
        <x:v>Public contact research does not establish consent. Filter by priority, segment, route and status; re-verify every contact immediately before use.</x:v>
      </x:c>
      <x:c r="M2" s="59" t="str">
        <x:v>Public contact research does not establish consent. Filter by priority, segment, route and status; re-verify every contact immediately before use.</x:v>
      </x:c>
      <x:c r="N2" s="59" t="str">
        <x:v>Public contact research does not establish consent. Filter by priority, segment, route and status; re-verify every contact immediately before use.</x:v>
      </x:c>
      <x:c r="O2" s="60"/>
      <x:c r="P2" s="60"/>
      <x:c r="Q2" s="60"/>
    </x:row>
    <x:row r="3">
      <x:c r="A3" s="60"/>
      <x:c r="B3" s="60"/>
      <x:c r="C3" s="60"/>
      <x:c r="D3" s="60"/>
      <x:c r="E3" s="60"/>
      <x:c r="F3" s="60"/>
      <x:c r="G3" s="60"/>
      <x:c r="H3" s="60"/>
      <x:c r="I3" s="60"/>
      <x:c r="J3" s="60"/>
      <x:c r="K3" s="60"/>
      <x:c r="L3" s="60"/>
      <x:c r="M3" s="60"/>
      <x:c r="N3" s="60"/>
      <x:c r="O3" s="60"/>
      <x:c r="P3" s="60"/>
      <x:c r="Q3" s="60"/>
    </x:row>
    <x:row r="4" ht="36" customHeight="1">
      <x:c r="A4" s="66" t="str">
        <x:v>LEGAL CONTROL: Do not bulk-email this list. A public email address is not consent under the Austrian guidance cited in Legal &amp; Sources. Use a warm, postal, in-person, or explicitly invited route and document permission.</x:v>
      </x:c>
      <x:c r="B4" s="66" t="str">
        <x:v>LEGAL CONTROL: Do not bulk-email this list. A public email address is not consent under the Austrian guidance cited in Legal &amp; Sources. Use a warm, postal, in-person, or explicitly invited route and document permission.</x:v>
      </x:c>
      <x:c r="C4" s="66" t="str">
        <x:v>LEGAL CONTROL: Do not bulk-email this list. A public email address is not consent under the Austrian guidance cited in Legal &amp; Sources. Use a warm, postal, in-person, or explicitly invited route and document permission.</x:v>
      </x:c>
      <x:c r="D4" s="66" t="str">
        <x:v>LEGAL CONTROL: Do not bulk-email this list. A public email address is not consent under the Austrian guidance cited in Legal &amp; Sources. Use a warm, postal, in-person, or explicitly invited route and document permission.</x:v>
      </x:c>
      <x:c r="E4" s="66" t="str">
        <x:v>LEGAL CONTROL: Do not bulk-email this list. A public email address is not consent under the Austrian guidance cited in Legal &amp; Sources. Use a warm, postal, in-person, or explicitly invited route and document permission.</x:v>
      </x:c>
      <x:c r="F4" s="66" t="str">
        <x:v>LEGAL CONTROL: Do not bulk-email this list. A public email address is not consent under the Austrian guidance cited in Legal &amp; Sources. Use a warm, postal, in-person, or explicitly invited route and document permission.</x:v>
      </x:c>
      <x:c r="G4" s="66" t="str">
        <x:v>LEGAL CONTROL: Do not bulk-email this list. A public email address is not consent under the Austrian guidance cited in Legal &amp; Sources. Use a warm, postal, in-person, or explicitly invited route and document permission.</x:v>
      </x:c>
      <x:c r="H4" s="66" t="str">
        <x:v>LEGAL CONTROL: Do not bulk-email this list. A public email address is not consent under the Austrian guidance cited in Legal &amp; Sources. Use a warm, postal, in-person, or explicitly invited route and document permission.</x:v>
      </x:c>
      <x:c r="I4" s="66" t="str">
        <x:v>LEGAL CONTROL: Do not bulk-email this list. A public email address is not consent under the Austrian guidance cited in Legal &amp; Sources. Use a warm, postal, in-person, or explicitly invited route and document permission.</x:v>
      </x:c>
      <x:c r="J4" s="66" t="str">
        <x:v>LEGAL CONTROL: Do not bulk-email this list. A public email address is not consent under the Austrian guidance cited in Legal &amp; Sources. Use a warm, postal, in-person, or explicitly invited route and document permission.</x:v>
      </x:c>
      <x:c r="K4" s="66" t="str">
        <x:v>LEGAL CONTROL: Do not bulk-email this list. A public email address is not consent under the Austrian guidance cited in Legal &amp; Sources. Use a warm, postal, in-person, or explicitly invited route and document permission.</x:v>
      </x:c>
      <x:c r="L4" s="66" t="str">
        <x:v>LEGAL CONTROL: Do not bulk-email this list. A public email address is not consent under the Austrian guidance cited in Legal &amp; Sources. Use a warm, postal, in-person, or explicitly invited route and document permission.</x:v>
      </x:c>
      <x:c r="M4" s="66" t="str">
        <x:v>LEGAL CONTROL: Do not bulk-email this list. A public email address is not consent under the Austrian guidance cited in Legal &amp; Sources. Use a warm, postal, in-person, or explicitly invited route and document permission.</x:v>
      </x:c>
      <x:c r="N4" s="66" t="str">
        <x:v>LEGAL CONTROL: Do not bulk-email this list. A public email address is not consent under the Austrian guidance cited in Legal &amp; Sources. Use a warm, postal, in-person, or explicitly invited route and document permission.</x:v>
      </x:c>
      <x:c r="O4" s="66" t="str">
        <x:v>LEGAL CONTROL: Do not bulk-email this list. A public email address is not consent under the Austrian guidance cited in Legal &amp; Sources. Use a warm, postal, in-person, or explicitly invited route and document permission.</x:v>
      </x:c>
      <x:c r="P4" s="66" t="str">
        <x:v>LEGAL CONTROL: Do not bulk-email this list. A public email address is not consent under the Austrian guidance cited in Legal &amp; Sources. Use a warm, postal, in-person, or explicitly invited route and document permission.</x:v>
      </x:c>
      <x:c r="Q4" s="66" t="str">
        <x:v>LEGAL CONTROL: Do not bulk-email this list. A public email address is not consent under the Austrian guidance cited in Legal &amp; Sources. Use a warm, postal, in-person, or explicitly invited route and document permission.</x:v>
      </x:c>
    </x:row>
    <x:row r="5" ht="32" customHeight="1">
      <x:c r="A5" s="79" t="str">
        <x:v>Rank</x:v>
      </x:c>
      <x:c r="B5" s="79" t="str">
        <x:v>Priority</x:v>
      </x:c>
      <x:c r="C5" s="79" t="str">
        <x:v>Organisation</x:v>
      </x:c>
      <x:c r="D5" s="79" t="str">
        <x:v>Segment</x:v>
      </x:c>
      <x:c r="E5" s="79" t="str">
        <x:v>Region</x:v>
      </x:c>
      <x:c r="F5" s="79" t="str">
        <x:v>Fit / use case</x:v>
      </x:c>
      <x:c r="G5" s="79" t="str">
        <x:v>Recommended offer</x:v>
      </x:c>
      <x:c r="H5" s="79" t="str">
        <x:v>Target role</x:v>
      </x:c>
      <x:c r="I5" s="79" t="str">
        <x:v>Public email</x:v>
      </x:c>
      <x:c r="J5" s="79" t="str">
        <x:v>Contact / form URL</x:v>
      </x:c>
      <x:c r="K5" s="79" t="str">
        <x:v>Website</x:v>
      </x:c>
      <x:c r="L5" s="79" t="str">
        <x:v>Permission signal</x:v>
      </x:c>
      <x:c r="M5" s="79" t="str">
        <x:v>Recommended first route</x:v>
      </x:c>
      <x:c r="N5" s="79" t="str">
        <x:v>Personalisation hook</x:v>
      </x:c>
      <x:c r="O5" s="79" t="str">
        <x:v>Research status</x:v>
      </x:c>
      <x:c r="P5" s="79" t="str">
        <x:v>Last verified</x:v>
      </x:c>
      <x:c r="Q5" s="79" t="str">
        <x:v>Source URL</x:v>
      </x:c>
    </x:row>
    <x:row r="6" ht="62" customHeight="1">
      <x:c r="A6" s="67" t="n">
        <x:v>1</x:v>
      </x:c>
      <x:c r="B6" s="67" t="str">
        <x:v>P1</x:v>
      </x:c>
      <x:c r="C6" s="62" t="str">
        <x:v>Pflasterspektakel Linz</x:v>
      </x:c>
      <x:c r="D6" s="62" t="str">
        <x:v>Festival / city event</x:v>
      </x:c>
      <x:c r="E6" s="62" t="str">
        <x:v>Upper Austria</x:v>
      </x:c>
      <x:c r="F6" s="62" t="str">
        <x:v>Large city-centre programme across many sites</x:v>
      </x:c>
      <x:c r="G6" s="62" t="str">
        <x:v>Managed programme-map pilot</x:v>
      </x:c>
      <x:c r="H6" s="62" t="str">
        <x:v>Festival direction / communications</x:v>
      </x:c>
      <x:c r="I6" s="62" t="str">
        <x:v>pflasterspektakel@linz.at</x:v>
      </x:c>
      <x:c r="J6" s="62" t="str">
        <x:v>https://pflasterspektakel.at/de/team/</x:v>
      </x:c>
      <x:c r="K6" s="62" t="str">
        <x:v>https://pflasterspektakel.at/</x:v>
      </x:c>
      <x:c r="L6" s="62" t="str">
        <x:v>Public business contact only — no consent</x:v>
      </x:c>
      <x:c r="M6" s="62" t="str">
        <x:v>Warm introduction via Linz network; then request permission</x:v>
      </x:c>
      <x:c r="N6" s="62" t="str">
        <x:v>Street-art programme and many city-centre locations make orientation a visible visitor need</x:v>
      </x:c>
      <x:c r="O6" s="62" t="str">
        <x:v>Research complete</x:v>
      </x:c>
      <x:c r="P6" s="68" t="str">
        <x:v>2026-08-30</x:v>
      </x:c>
      <x:c r="Q6" s="62" t="str">
        <x:v>https://pflasterspektakel.at/de/team/</x:v>
      </x:c>
    </x:row>
    <x:row r="7" ht="62" customHeight="1">
      <x:c r="A7" s="67" t="n">
        <x:v>2</x:v>
      </x:c>
      <x:c r="B7" s="67" t="str">
        <x:v>P1</x:v>
      </x:c>
      <x:c r="C7" s="62" t="str">
        <x:v>LIVA — Linzer Veranstaltungsgesellschaft</x:v>
      </x:c>
      <x:c r="D7" s="62" t="str">
        <x:v>Multi-venue operator</x:v>
      </x:c>
      <x:c r="E7" s="62" t="str">
        <x:v>Upper Austria</x:v>
      </x:c>
      <x:c r="F7" s="62" t="str">
        <x:v>Brucknerhaus, Posthof, Kuddelmuddel, TipsArena and city events</x:v>
      </x:c>
      <x:c r="G7" s="62" t="str">
        <x:v>Managed multi-venue pilot</x:v>
      </x:c>
      <x:c r="H7" s="62" t="str">
        <x:v>Marketing / digital</x:v>
      </x:c>
      <x:c r="I7" s="62" t="str">
        <x:v>marketing@liva.linz.at</x:v>
      </x:c>
      <x:c r="J7" s="62" t="str">
        <x:v>https://www.brucknerhaus.at/impressum</x:v>
      </x:c>
      <x:c r="K7" s="62" t="str">
        <x:v>https://www.liva.linz.at/</x:v>
      </x:c>
      <x:c r="L7" s="62" t="str">
        <x:v>Public business contact only — no consent</x:v>
      </x:c>
      <x:c r="M7" s="62" t="str">
        <x:v>Warm Linz introduction; ask for a pilot sponsor</x:v>
      </x:c>
      <x:c r="N7" s="62" t="str">
        <x:v>One operator spans culture, family programming, sport and several venues</x:v>
      </x:c>
      <x:c r="O7" s="62" t="str">
        <x:v>Research complete</x:v>
      </x:c>
      <x:c r="P7" s="68" t="str">
        <x:v>2026-08-30</x:v>
      </x:c>
      <x:c r="Q7" s="62" t="str">
        <x:v>https://www.brucknerhaus.at/impressum</x:v>
      </x:c>
    </x:row>
    <x:row r="8" ht="62" customHeight="1">
      <x:c r="A8" s="67" t="n">
        <x:v>3</x:v>
      </x:c>
      <x:c r="B8" s="67" t="str">
        <x:v>P1</x:v>
      </x:c>
      <x:c r="C8" s="62" t="str">
        <x:v>Ars Electronica Festival</x:v>
      </x:c>
      <x:c r="D8" s="62" t="str">
        <x:v>Festival</x:v>
      </x:c>
      <x:c r="E8" s="62" t="str">
        <x:v>Upper Austria</x:v>
      </x:c>
      <x:c r="F8" s="62" t="str">
        <x:v>International programme with venues across Linz</x:v>
      </x:c>
      <x:c r="G8" s="62" t="str">
        <x:v>Managed programme-map pilot</x:v>
      </x:c>
      <x:c r="H8" s="62" t="str">
        <x:v>Festival office / digital product</x:v>
      </x:c>
      <x:c r="I8" s="62" t="str">
        <x:v>festival@ars.electronica.art</x:v>
      </x:c>
      <x:c r="J8" s="62" t="str">
        <x:v>https://ars.electronica.art/about/en/contact/</x:v>
      </x:c>
      <x:c r="K8" s="62" t="str">
        <x:v>https://ars.electronica.art/festival/</x:v>
      </x:c>
      <x:c r="L8" s="62" t="str">
        <x:v>Public business contact only — no consent</x:v>
      </x:c>
      <x:c r="M8" s="62" t="str">
        <x:v>Warm introduction; approach festival or digital-experience lead</x:v>
      </x:c>
      <x:c r="N8" s="62" t="str">
        <x:v>A dense multi-day, multi-location programme is the clearest product fit</x:v>
      </x:c>
      <x:c r="O8" s="62" t="str">
        <x:v>Research complete</x:v>
      </x:c>
      <x:c r="P8" s="68" t="str">
        <x:v>2026-08-30</x:v>
      </x:c>
      <x:c r="Q8" s="62" t="str">
        <x:v>https://ars.electronica.art/about/en/contact/</x:v>
      </x:c>
    </x:row>
    <x:row r="9" ht="62" customHeight="1">
      <x:c r="A9" s="67" t="n">
        <x:v>4</x:v>
      </x:c>
      <x:c r="B9" s="67" t="str">
        <x:v>P1</x:v>
      </x:c>
      <x:c r="C9" s="62" t="str">
        <x:v>Tabakfabrik Linz</x:v>
      </x:c>
      <x:c r="D9" s="62" t="str">
        <x:v>Cultural campus / venue</x:v>
      </x:c>
      <x:c r="E9" s="62" t="str">
        <x:v>Upper Austria</x:v>
      </x:c>
      <x:c r="F9" s="62" t="str">
        <x:v>Public events across a large multi-space creative campus</x:v>
      </x:c>
      <x:c r="G9" s="62" t="str">
        <x:v>Managed campus-map pilot</x:v>
      </x:c>
      <x:c r="H9" s="62" t="str">
        <x:v>Head of Venue &amp; Event Management</x:v>
      </x:c>
      <x:c r="I9" s="62" t="str">
        <x:v>veranstaltungen@tfl.linz.at</x:v>
      </x:c>
      <x:c r="J9" s="62" t="str">
        <x:v>https://tabakfabrik-linz.at/kontakt/</x:v>
      </x:c>
      <x:c r="K9" s="62" t="str">
        <x:v>https://tabakfabrik-linz.at/</x:v>
      </x:c>
      <x:c r="L9" s="62" t="str">
        <x:v>Inbound event-inquiry channel; proposal scope not verified</x:v>
      </x:c>
      <x:c r="M9" s="62" t="str">
        <x:v>Warm local introduction or event-industry meeting</x:v>
      </x:c>
      <x:c r="N9" s="62" t="str">
        <x:v>The campus hosts congresses, concerts, exhibitions and workshops in several spaces</x:v>
      </x:c>
      <x:c r="O9" s="62" t="str">
        <x:v>Research complete</x:v>
      </x:c>
      <x:c r="P9" s="68" t="str">
        <x:v>2026-08-30</x:v>
      </x:c>
      <x:c r="Q9" s="62" t="str">
        <x:v>https://tabakfabrik-linz.at/veranstaltungsinfos/</x:v>
      </x:c>
    </x:row>
    <x:row r="10" ht="62" customHeight="1">
      <x:c r="A10" s="67" t="n">
        <x:v>5</x:v>
      </x:c>
      <x:c r="B10" s="67" t="str">
        <x:v>P1</x:v>
      </x:c>
      <x:c r="C10" s="62" t="str">
        <x:v>Linz Tourismus — Veranstaltungsservice</x:v>
      </x:c>
      <x:c r="D10" s="62" t="str">
        <x:v>Tourism / convention bureau</x:v>
      </x:c>
      <x:c r="E10" s="62" t="str">
        <x:v>Upper Austria</x:v>
      </x:c>
      <x:c r="F10" s="62" t="str">
        <x:v>Local event-planning partner and access to organisers</x:v>
      </x:c>
      <x:c r="G10" s="62" t="str">
        <x:v>Referral partnership + pilot sourcing</x:v>
      </x:c>
      <x:c r="H10" s="62" t="str">
        <x:v>Event services / business tourism</x:v>
      </x:c>
      <x:c r="I10" s="62" t="str">
        <x:v>tagung@linztourismus.at</x:v>
      </x:c>
      <x:c r="J10" s="62" t="str">
        <x:v>https://www.linztourismus.at/business/service/kontakt</x:v>
      </x:c>
      <x:c r="K10" s="62" t="str">
        <x:v>https://www.linztourismus.at/</x:v>
      </x:c>
      <x:c r="L10" s="62" t="str">
        <x:v>Inbound event-planning channel; partnership scope not verified</x:v>
      </x:c>
      <x:c r="M10" s="62" t="str">
        <x:v>Request an introduction at an industry or municipal meeting</x:v>
      </x:c>
      <x:c r="N10" s="62" t="str">
        <x:v>Can connect Okolo to suitable Linz event pilots without a national rollout</x:v>
      </x:c>
      <x:c r="O10" s="62" t="str">
        <x:v>Research complete</x:v>
      </x:c>
      <x:c r="P10" s="68" t="str">
        <x:v>2026-08-30</x:v>
      </x:c>
      <x:c r="Q10" s="62" t="str">
        <x:v>https://www.linztourismus.at/business/service/kontakt</x:v>
      </x:c>
    </x:row>
    <x:row r="11" ht="62" customHeight="1">
      <x:c r="A11" s="67" t="n">
        <x:v>6</x:v>
      </x:c>
      <x:c r="B11" s="67" t="str">
        <x:v>P1</x:v>
      </x:c>
      <x:c r="C11" s="62" t="str">
        <x:v>Donauinselfest</x:v>
      </x:c>
      <x:c r="D11" s="62" t="str">
        <x:v>Festival</x:v>
      </x:c>
      <x:c r="E11" s="62" t="str">
        <x:v>Vienna</x:v>
      </x:c>
      <x:c r="F11" s="62" t="str">
        <x:v>Very large free festival with multiple stages and locations</x:v>
      </x:c>
      <x:c r="G11" s="62" t="str">
        <x:v>Managed programme-map pilot</x:v>
      </x:c>
      <x:c r="H11" s="62" t="str">
        <x:v>Partnerships</x:v>
      </x:c>
      <x:c r="I11" s="62" t="str">
        <x:v>partner@donauinselfest.at</x:v>
      </x:c>
      <x:c r="J11" s="62" t="str">
        <x:v>https://donauinselfest.at/kontakt/</x:v>
      </x:c>
      <x:c r="K11" s="62" t="str">
        <x:v>https://donauinselfest.at/</x:v>
      </x:c>
      <x:c r="L11" s="62" t="str">
        <x:v>Explicit partnership channel</x:v>
      </x:c>
      <x:c r="M11" s="62" t="str">
        <x:v>Use the partnership address after purpose check</x:v>
      </x:c>
      <x:c r="N11" s="62" t="str">
        <x:v>The official site explicitly invites partner enquiries; programme orientation is central</x:v>
      </x:c>
      <x:c r="O11" s="62" t="str">
        <x:v>Research complete</x:v>
      </x:c>
      <x:c r="P11" s="68" t="str">
        <x:v>2026-08-30</x:v>
      </x:c>
      <x:c r="Q11" s="62" t="str">
        <x:v>https://donauinselfest.at/kontakt/</x:v>
      </x:c>
    </x:row>
    <x:row r="12" ht="62" customHeight="1">
      <x:c r="A12" s="67" t="n">
        <x:v>7</x:v>
      </x:c>
      <x:c r="B12" s="67" t="str">
        <x:v>P1</x:v>
      </x:c>
      <x:c r="C12" s="62" t="str">
        <x:v>Electric Love Festival / Revolution Event</x:v>
      </x:c>
      <x:c r="D12" s="62" t="str">
        <x:v>Festival group</x:v>
      </x:c>
      <x:c r="E12" s="62" t="str">
        <x:v>Salzburg</x:v>
      </x:c>
      <x:c r="F12" s="62" t="str">
        <x:v>Multi-stage festival and group of major Austrian events</x:v>
      </x:c>
      <x:c r="G12" s="62" t="str">
        <x:v>Managed programme-map pilot</x:v>
      </x:c>
      <x:c r="H12" s="62" t="str">
        <x:v>Cooperations</x:v>
      </x:c>
      <x:c r="I12" s="62" t="str">
        <x:v>cooperations@revolutionevent.com</x:v>
      </x:c>
      <x:c r="J12" s="62" t="str">
        <x:v>https://www.electriclove.at/de/kooperationspartner/</x:v>
      </x:c>
      <x:c r="K12" s="62" t="str">
        <x:v>https://www.electriclove.at/</x:v>
      </x:c>
      <x:c r="L12" s="62" t="str">
        <x:v>Explicit partnership channel</x:v>
      </x:c>
      <x:c r="M12" s="62" t="str">
        <x:v>Use the cooperation channel with a tailored pilot concept</x:v>
      </x:c>
      <x:c r="N12" s="62" t="str">
        <x:v>The partner page explicitly invites cooperation proposals and the visitor journey is map-heavy</x:v>
      </x:c>
      <x:c r="O12" s="62" t="str">
        <x:v>Research complete</x:v>
      </x:c>
      <x:c r="P12" s="68" t="str">
        <x:v>2026-08-30</x:v>
      </x:c>
      <x:c r="Q12" s="62" t="str">
        <x:v>https://www.electriclove.at/de/kooperationspartner/</x:v>
      </x:c>
    </x:row>
    <x:row r="13" ht="62" customHeight="1">
      <x:c r="A13" s="67" t="n">
        <x:v>8</x:v>
      </x:c>
      <x:c r="B13" s="67" t="str">
        <x:v>P1</x:v>
      </x:c>
      <x:c r="C13" s="62" t="str">
        <x:v>Grafenegg Festival</x:v>
      </x:c>
      <x:c r="D13" s="62" t="str">
        <x:v>Festival / cultural campus</x:v>
      </x:c>
      <x:c r="E13" s="62" t="str">
        <x:v>Lower Austria</x:v>
      </x:c>
      <x:c r="F13" s="62" t="str">
        <x:v>Festival and year-round programme across a large estate</x:v>
      </x:c>
      <x:c r="G13" s="62" t="str">
        <x:v>Managed campus-map pilot</x:v>
      </x:c>
      <x:c r="H13" s="62" t="str">
        <x:v>Head of Marketing / event management</x:v>
      </x:c>
      <x:c r="I13" s="62" t="str">
        <x:v>office@grafenegg.com</x:v>
      </x:c>
      <x:c r="J13" s="62" t="str">
        <x:v>https://www.grafenegg.com/de/team</x:v>
      </x:c>
      <x:c r="K13" s="62" t="str">
        <x:v>https://www.grafenegg.com/</x:v>
      </x:c>
      <x:c r="L13" s="62" t="str">
        <x:v>Public business contact only — no consent</x:v>
      </x:c>
      <x:c r="M13" s="62" t="str">
        <x:v>Warm introduction through NÖKU or event sector</x:v>
      </x:c>
      <x:c r="N13" s="62" t="str">
        <x:v>Programme, park, castle and venues create a strong map-plus-schedule use case</x:v>
      </x:c>
      <x:c r="O13" s="62" t="str">
        <x:v>Research complete</x:v>
      </x:c>
      <x:c r="P13" s="68" t="str">
        <x:v>2026-08-30</x:v>
      </x:c>
      <x:c r="Q13" s="62" t="str">
        <x:v>https://www.grafenegg.com/de/team</x:v>
      </x:c>
    </x:row>
    <x:row r="14" ht="62" customHeight="1">
      <x:c r="A14" s="67" t="n">
        <x:v>9</x:v>
      </x:c>
      <x:c r="B14" s="67" t="str">
        <x:v>P1</x:v>
      </x:c>
      <x:c r="C14" s="62" t="str">
        <x:v>MuseumsQuartier Wien</x:v>
      </x:c>
      <x:c r="D14" s="62" t="str">
        <x:v>Cultural campus</x:v>
      </x:c>
      <x:c r="E14" s="62" t="str">
        <x:v>Vienna</x:v>
      </x:c>
      <x:c r="F14" s="62" t="str">
        <x:v>61 institutions and a large public cultural area</x:v>
      </x:c>
      <x:c r="G14" s="62" t="str">
        <x:v>Managed campus-map pilot</x:v>
      </x:c>
      <x:c r="H14" s="62" t="str">
        <x:v>Marketing &amp; partnership management</x:v>
      </x:c>
      <x:c r="I14" s="62" t="str">
        <x:v>office@mqw.at</x:v>
      </x:c>
      <x:c r="J14" s="62" t="str">
        <x:v>https://www.mqw.at/de/das-mq/organisation/</x:v>
      </x:c>
      <x:c r="K14" s="62" t="str">
        <x:v>https://www.mqw.at/</x:v>
      </x:c>
      <x:c r="L14" s="62" t="str">
        <x:v>Public business contact only — no consent</x:v>
      </x:c>
      <x:c r="M14" s="62" t="str">
        <x:v>Warm introduction; target partnership management role</x:v>
      </x:c>
      <x:c r="N14" s="62" t="str">
        <x:v>A shared discovery layer can connect institutions, events and physical orientation</x:v>
      </x:c>
      <x:c r="O14" s="62" t="str">
        <x:v>Research complete</x:v>
      </x:c>
      <x:c r="P14" s="68" t="str">
        <x:v>2026-08-30</x:v>
      </x:c>
      <x:c r="Q14" s="62" t="str">
        <x:v>https://www.mqw.at/de/das-mq/organisation/</x:v>
      </x:c>
    </x:row>
    <x:row r="15" ht="62" customHeight="1">
      <x:c r="A15" s="67" t="n">
        <x:v>10</x:v>
      </x:c>
      <x:c r="B15" s="67" t="str">
        <x:v>P1</x:v>
      </x:c>
      <x:c r="C15" s="62" t="str">
        <x:v>Kultursommer Wien</x:v>
      </x:c>
      <x:c r="D15" s="62" t="str">
        <x:v>City festival</x:v>
      </x:c>
      <x:c r="E15" s="62" t="str">
        <x:v>Vienna</x:v>
      </x:c>
      <x:c r="F15" s="62" t="str">
        <x:v>Free programme distributed across districts and stages</x:v>
      </x:c>
      <x:c r="G15" s="62" t="str">
        <x:v>Managed programme-map pilot</x:v>
      </x:c>
      <x:c r="H15" s="62" t="str">
        <x:v>Communications / partner &amp; sponsors</x:v>
      </x:c>
      <x:c r="I15" s="62" t="str">
        <x:v>info@kultursommer.wien</x:v>
      </x:c>
      <x:c r="J15" s="62" t="str">
        <x:v>https://www.kultursommer.wien/team?lang=de</x:v>
      </x:c>
      <x:c r="K15" s="62" t="str">
        <x:v>https://www.kultursommer.wien/</x:v>
      </x:c>
      <x:c r="L15" s="62" t="str">
        <x:v>Public business contact only — no consent</x:v>
      </x:c>
      <x:c r="M15" s="62" t="str">
        <x:v>Warm municipal/culture introduction</x:v>
      </x:c>
      <x:c r="N15" s="62" t="str">
        <x:v>Distributed free programming matches map-first discovery and family use</x:v>
      </x:c>
      <x:c r="O15" s="62" t="str">
        <x:v>Research complete</x:v>
      </x:c>
      <x:c r="P15" s="68" t="str">
        <x:v>2026-08-30</x:v>
      </x:c>
      <x:c r="Q15" s="62" t="str">
        <x:v>https://www.kultursommer.wien/team?lang=de</x:v>
      </x:c>
    </x:row>
    <x:row r="16" ht="62" customHeight="1">
      <x:c r="A16" s="67" t="n">
        <x:v>11</x:v>
      </x:c>
      <x:c r="B16" s="67" t="str">
        <x:v>P1</x:v>
      </x:c>
      <x:c r="C16" s="62" t="str">
        <x:v>Wiener Festwochen</x:v>
      </x:c>
      <x:c r="D16" s="62" t="str">
        <x:v>Festival</x:v>
      </x:c>
      <x:c r="E16" s="62" t="str">
        <x:v>Vienna</x:v>
      </x:c>
      <x:c r="F16" s="62" t="str">
        <x:v>International programme across multiple venues</x:v>
      </x:c>
      <x:c r="G16" s="62" t="str">
        <x:v>Managed programme-map pilot</x:v>
      </x:c>
      <x:c r="H16" s="62" t="str">
        <x:v>Marketing &amp; strategic partnerships</x:v>
      </x:c>
      <x:c r="I16" s="62" t="str">
        <x:v>festwochen@festwochen.at</x:v>
      </x:c>
      <x:c r="J16" s="62" t="str">
        <x:v>https://www.festwochen.at/ueber-uns/kontakt</x:v>
      </x:c>
      <x:c r="K16" s="62" t="str">
        <x:v>https://www.festwochen.at/</x:v>
      </x:c>
      <x:c r="L16" s="62" t="str">
        <x:v>Public business contact only — no consent</x:v>
      </x:c>
      <x:c r="M16" s="62" t="str">
        <x:v>Warm arts-sector introduction; request correct role</x:v>
      </x:c>
      <x:c r="N16" s="62" t="str">
        <x:v>A dense city-wide programme benefits from date, venue and format filters</x:v>
      </x:c>
      <x:c r="O16" s="62" t="str">
        <x:v>Research complete</x:v>
      </x:c>
      <x:c r="P16" s="68" t="str">
        <x:v>2026-08-30</x:v>
      </x:c>
      <x:c r="Q16" s="62" t="str">
        <x:v>https://www.festwochen.at/ueber-uns/team</x:v>
      </x:c>
    </x:row>
    <x:row r="17" ht="62" customHeight="1">
      <x:c r="A17" s="67" t="n">
        <x:v>12</x:v>
      </x:c>
      <x:c r="B17" s="67" t="str">
        <x:v>P1</x:v>
      </x:c>
      <x:c r="C17" s="62" t="str">
        <x:v>Bregenzer Festspiele</x:v>
      </x:c>
      <x:c r="D17" s="62" t="str">
        <x:v>Festival</x:v>
      </x:c>
      <x:c r="E17" s="62" t="str">
        <x:v>Vorarlberg</x:v>
      </x:c>
      <x:c r="F17" s="62" t="str">
        <x:v>Major festival with several venues and visitor services</x:v>
      </x:c>
      <x:c r="G17" s="62" t="str">
        <x:v>Managed programme-map pilot</x:v>
      </x:c>
      <x:c r="H17" s="62" t="str">
        <x:v>Marketing / digital / sponsoring</x:v>
      </x:c>
      <x:c r="I17" s="62" t="str">
        <x:v>sponsoring@bregenzerfestspiele.com</x:v>
      </x:c>
      <x:c r="J17" s="62" t="str">
        <x:v>https://bregenzerfestspiele.com/en/about-us/team</x:v>
      </x:c>
      <x:c r="K17" s="62" t="str">
        <x:v>https://bregenzerfestspiele.com/</x:v>
      </x:c>
      <x:c r="L17" s="62" t="str">
        <x:v>Public sponsoring contact; vendor proposal fit unverified</x:v>
      </x:c>
      <x:c r="M17" s="62" t="str">
        <x:v>Seek introduction or ask sponsoring team for correct digital contact</x:v>
      </x:c>
      <x:c r="N17" s="62" t="str">
        <x:v>Venue orientation, programme and visitor services create a premium pilot case</x:v>
      </x:c>
      <x:c r="O17" s="62" t="str">
        <x:v>Research complete</x:v>
      </x:c>
      <x:c r="P17" s="68" t="str">
        <x:v>2026-08-30</x:v>
      </x:c>
      <x:c r="Q17" s="62" t="str">
        <x:v>https://bregenzerfestspiele.com/en/about-us/team</x:v>
      </x:c>
    </x:row>
    <x:row r="18" ht="62" customHeight="1">
      <x:c r="A18" s="67" t="n">
        <x:v>13</x:v>
      </x:c>
      <x:c r="B18" s="67" t="str">
        <x:v>P1</x:v>
      </x:c>
      <x:c r="C18" s="62" t="str">
        <x:v>Elevate Festival</x:v>
      </x:c>
      <x:c r="D18" s="62" t="str">
        <x:v>Festival</x:v>
      </x:c>
      <x:c r="E18" s="62" t="str">
        <x:v>Styria</x:v>
      </x:c>
      <x:c r="F18" s="62" t="str">
        <x:v>Music, arts and discourse across Graz venues</x:v>
      </x:c>
      <x:c r="G18" s="62" t="str">
        <x:v>Managed programme-map pilot</x:v>
      </x:c>
      <x:c r="H18" s="62" t="str">
        <x:v>Festival office / production</x:v>
      </x:c>
      <x:c r="I18" s="62" t="str">
        <x:v>office@elevate.at</x:v>
      </x:c>
      <x:c r="J18" s="62" t="str">
        <x:v>https://elevate.at/de/kontakt/</x:v>
      </x:c>
      <x:c r="K18" s="62" t="str">
        <x:v>https://elevate.at/</x:v>
      </x:c>
      <x:c r="L18" s="62" t="str">
        <x:v>Public business contact only — no consent</x:v>
      </x:c>
      <x:c r="M18" s="62" t="str">
        <x:v>Warm creative-industry introduction</x:v>
      </x:c>
      <x:c r="N18" s="62" t="str">
        <x:v>Cross-format programme and city venues suit filters and schedule discovery</x:v>
      </x:c>
      <x:c r="O18" s="62" t="str">
        <x:v>Research complete</x:v>
      </x:c>
      <x:c r="P18" s="68" t="str">
        <x:v>2026-08-30</x:v>
      </x:c>
      <x:c r="Q18" s="62" t="str">
        <x:v>https://elevate.at/de/kontakt/</x:v>
      </x:c>
    </x:row>
    <x:row r="19" ht="62" customHeight="1">
      <x:c r="A19" s="67" t="n">
        <x:v>14</x:v>
      </x:c>
      <x:c r="B19" s="67" t="str">
        <x:v>P1</x:v>
      </x:c>
      <x:c r="C19" s="62" t="str">
        <x:v>La Strada Graz</x:v>
      </x:c>
      <x:c r="D19" s="62" t="str">
        <x:v>Festival</x:v>
      </x:c>
      <x:c r="E19" s="62" t="str">
        <x:v>Styria</x:v>
      </x:c>
      <x:c r="F19" s="62" t="str">
        <x:v>Street and contemporary arts across public spaces</x:v>
      </x:c>
      <x:c r="G19" s="62" t="str">
        <x:v>Managed programme-map pilot</x:v>
      </x:c>
      <x:c r="H19" s="62" t="str">
        <x:v>Festival office / visitor service</x:v>
      </x:c>
      <x:c r="I19" s="62" t="str">
        <x:v>info@lastrada.at</x:v>
      </x:c>
      <x:c r="J19" s="62" t="str">
        <x:v>https://www.lastrada.at/</x:v>
      </x:c>
      <x:c r="K19" s="62" t="str">
        <x:v>https://www.lastrada.at/</x:v>
      </x:c>
      <x:c r="L19" s="62" t="str">
        <x:v>Public business contact only — no consent</x:v>
      </x:c>
      <x:c r="M19" s="62" t="str">
        <x:v>Warm Graz cultural-sector introduction</x:v>
      </x:c>
      <x:c r="N19" s="62" t="str">
        <x:v>Public-space performances make location, time and movement essential</x:v>
      </x:c>
      <x:c r="O19" s="62" t="str">
        <x:v>Research complete</x:v>
      </x:c>
      <x:c r="P19" s="68" t="str">
        <x:v>2026-08-30</x:v>
      </x:c>
      <x:c r="Q19" s="62" t="str">
        <x:v>https://www.lastrada.at/wp-content/uploads/2025/07/LS25_Programmheft_WEB-1.pdf</x:v>
      </x:c>
    </x:row>
    <x:row r="20" ht="62" customHeight="1">
      <x:c r="A20" s="67" t="n">
        <x:v>15</x:v>
      </x:c>
      <x:c r="B20" s="67" t="str">
        <x:v>P1</x:v>
      </x:c>
      <x:c r="C20" s="62" t="str">
        <x:v>Carinthischer Sommer</x:v>
      </x:c>
      <x:c r="D20" s="62" t="str">
        <x:v>Festival</x:v>
      </x:c>
      <x:c r="E20" s="62" t="str">
        <x:v>Carinthia</x:v>
      </x:c>
      <x:c r="F20" s="62" t="str">
        <x:v>Regional music festival with several sites</x:v>
      </x:c>
      <x:c r="G20" s="62" t="str">
        <x:v>Managed programme-map pilot</x:v>
      </x:c>
      <x:c r="H20" s="62" t="str">
        <x:v>Festival management / organisation</x:v>
      </x:c>
      <x:c r="I20" s="62" t="str">
        <x:v>office@carinthischersommer.at</x:v>
      </x:c>
      <x:c r="J20" s="62" t="str">
        <x:v>https://carinthischersommer.at/kontakt/</x:v>
      </x:c>
      <x:c r="K20" s="62" t="str">
        <x:v>https://carinthischersommer.at/</x:v>
      </x:c>
      <x:c r="L20" s="62" t="str">
        <x:v>Public business contact only — no consent</x:v>
      </x:c>
      <x:c r="M20" s="62" t="str">
        <x:v>Warm culture/tourism introduction</x:v>
      </x:c>
      <x:c r="N20" s="62" t="str">
        <x:v>A regional festival can test venue discovery without broad expansion</x:v>
      </x:c>
      <x:c r="O20" s="62" t="str">
        <x:v>Research complete</x:v>
      </x:c>
      <x:c r="P20" s="68" t="str">
        <x:v>2026-08-30</x:v>
      </x:c>
      <x:c r="Q20" s="62" t="str">
        <x:v>https://carinthischersommer.at/kontakt/</x:v>
      </x:c>
    </x:row>
    <x:row r="21" ht="62" customHeight="1">
      <x:c r="A21" s="67" t="n">
        <x:v>16</x:v>
      </x:c>
      <x:c r="B21" s="67" t="str">
        <x:v>P1</x:v>
      </x:c>
      <x:c r="C21" s="62" t="str">
        <x:v>donaufestival / NÖ Festival und Kino</x:v>
      </x:c>
      <x:c r="D21" s="62" t="str">
        <x:v>Festival group</x:v>
      </x:c>
      <x:c r="E21" s="62" t="str">
        <x:v>Lower Austria</x:v>
      </x:c>
      <x:c r="F21" s="62" t="str">
        <x:v>Intensive multi-day contemporary programme in Krems</x:v>
      </x:c>
      <x:c r="G21" s="62" t="str">
        <x:v>Managed programme-map pilot</x:v>
      </x:c>
      <x:c r="H21" s="62" t="str">
        <x:v>Festival office / communications</x:v>
      </x:c>
      <x:c r="I21" s="62" t="str">
        <x:v>office@noe-festival.at</x:v>
      </x:c>
      <x:c r="J21" s="62" t="str">
        <x:v>https://www.donaufestival.at/de/kontakt</x:v>
      </x:c>
      <x:c r="K21" s="62" t="str">
        <x:v>https://www.donaufestival.at/</x:v>
      </x:c>
      <x:c r="L21" s="62" t="str">
        <x:v>Public business contact only — no consent</x:v>
      </x:c>
      <x:c r="M21" s="62" t="str">
        <x:v>Warm NÖKU introduction</x:v>
      </x:c>
      <x:c r="N21" s="62" t="str">
        <x:v>Many programme items and venues over a short period create high orientation value</x:v>
      </x:c>
      <x:c r="O21" s="62" t="str">
        <x:v>Research complete</x:v>
      </x:c>
      <x:c r="P21" s="68" t="str">
        <x:v>2026-08-30</x:v>
      </x:c>
      <x:c r="Q21" s="62" t="str">
        <x:v>https://www.donaufestival.at/de/kontakt</x:v>
      </x:c>
    </x:row>
    <x:row r="22" ht="62" customHeight="1">
      <x:c r="A22" s="67" t="n">
        <x:v>17</x:v>
      </x:c>
      <x:c r="B22" s="67" t="str">
        <x:v>P1</x:v>
      </x:c>
      <x:c r="C22" s="62" t="str">
        <x:v>Salzburger Festspiele</x:v>
      </x:c>
      <x:c r="D22" s="62" t="str">
        <x:v>Festival</x:v>
      </x:c>
      <x:c r="E22" s="62" t="str">
        <x:v>Salzburg</x:v>
      </x:c>
      <x:c r="F22" s="62" t="str">
        <x:v>Major international programme across many venues</x:v>
      </x:c>
      <x:c r="G22" s="62" t="str">
        <x:v>Managed programme-map pilot</x:v>
      </x:c>
      <x:c r="H22" s="62" t="str">
        <x:v>Marketing / digital</x:v>
      </x:c>
      <x:c r="I22" s="62" t="str">
        <x:v>k.zehetner@salzburgfestival.at</x:v>
      </x:c>
      <x:c r="J22" s="62" t="str">
        <x:v>https://www.salzburgerfestspiele.at/</x:v>
      </x:c>
      <x:c r="K22" s="62" t="str">
        <x:v>https://www.salzburgerfestspiele.at/</x:v>
      </x:c>
      <x:c r="L22" s="62" t="str">
        <x:v>Public role contact only — no consent</x:v>
      </x:c>
      <x:c r="M22" s="62" t="str">
        <x:v>Warm introduction; re-verify named contact before use</x:v>
      </x:c>
      <x:c r="N22" s="62" t="str">
        <x:v>Programme scale and international visitors make a bilingual map compelling</x:v>
      </x:c>
      <x:c r="O22" s="62" t="str">
        <x:v>Research complete</x:v>
      </x:c>
      <x:c r="P22" s="68" t="str">
        <x:v>2026-08-30</x:v>
      </x:c>
      <x:c r="Q22" s="62" t="str">
        <x:v>https://www.salzburgerfestspiele.at/wp-content/uploads/2026/01/mediadaten_2026.pdf</x:v>
      </x:c>
    </x:row>
    <x:row r="23" ht="62" customHeight="1">
      <x:c r="A23" s="67" t="n">
        <x:v>18</x:v>
      </x:c>
      <x:c r="B23" s="67" t="str">
        <x:v>P2</x:v>
      </x:c>
      <x:c r="C23" s="62" t="str">
        <x:v>ImPulsTanz — Vienna International Dance Festival</x:v>
      </x:c>
      <x:c r="D23" s="62" t="str">
        <x:v>Festival</x:v>
      </x:c>
      <x:c r="E23" s="62" t="str">
        <x:v>Vienna</x:v>
      </x:c>
      <x:c r="F23" s="62" t="str">
        <x:v>Performances and workshops across the city</x:v>
      </x:c>
      <x:c r="G23" s="62" t="str">
        <x:v>Managed programme-map pilot</x:v>
      </x:c>
      <x:c r="H23" s="62" t="str">
        <x:v>Festival office / marketing</x:v>
      </x:c>
      <x:c r="I23" s="62" t="str">
        <x:v>info@impulstanz.com</x:v>
      </x:c>
      <x:c r="J23" s="62" t="str">
        <x:v>https://www.impulstanz.com/</x:v>
      </x:c>
      <x:c r="K23" s="62" t="str">
        <x:v>https://www.impulstanz.com/</x:v>
      </x:c>
      <x:c r="L23" s="62" t="str">
        <x:v>Public business contact only — no consent</x:v>
      </x:c>
      <x:c r="M23" s="62" t="str">
        <x:v>Warm performing-arts introduction</x:v>
      </x:c>
      <x:c r="N23" s="62" t="str">
        <x:v>Combining workshops, performances and venues is a strong schedule-filter case</x:v>
      </x:c>
      <x:c r="O23" s="62" t="str">
        <x:v>Research complete</x:v>
      </x:c>
      <x:c r="P23" s="68" t="str">
        <x:v>2026-08-30</x:v>
      </x:c>
      <x:c r="Q23" s="62" t="str">
        <x:v>https://www.impulstanz.com/media/booklets/AZ_Grabinger_v12.pdf</x:v>
      </x:c>
    </x:row>
    <x:row r="24" ht="62" customHeight="1">
      <x:c r="A24" s="67" t="n">
        <x:v>19</x:v>
      </x:c>
      <x:c r="B24" s="67" t="str">
        <x:v>P2</x:v>
      </x:c>
      <x:c r="C24" s="62" t="str">
        <x:v>Crossing Europe Filmfestival Linz</x:v>
      </x:c>
      <x:c r="D24" s="62" t="str">
        <x:v>Festival</x:v>
      </x:c>
      <x:c r="E24" s="62" t="str">
        <x:v>Upper Austria</x:v>
      </x:c>
      <x:c r="F24" s="62" t="str">
        <x:v>Screenings and industry programme across Linz cinemas</x:v>
      </x:c>
      <x:c r="G24" s="62" t="str">
        <x:v>Managed programme-map pilot</x:v>
      </x:c>
      <x:c r="H24" s="62" t="str">
        <x:v>Festival office</x:v>
      </x:c>
      <x:c r="I24" s="62" t="str">
        <x:v>helpdesk@crossingeurope.at</x:v>
      </x:c>
      <x:c r="J24" s="62" t="str">
        <x:v>https://www.crossingeurope.at/en/festival/contact/contact_form</x:v>
      </x:c>
      <x:c r="K24" s="62" t="str">
        <x:v>https://www.crossingeurope.at/</x:v>
      </x:c>
      <x:c r="L24" s="62" t="str">
        <x:v>Public helpdesk; sales-purpose fit unverified</x:v>
      </x:c>
      <x:c r="M24" s="62" t="str">
        <x:v>Warm Linz film/culture introduction</x:v>
      </x:c>
      <x:c r="N24" s="62" t="str">
        <x:v>Screenings, venues and timetable navigation fit a small local pilot</x:v>
      </x:c>
      <x:c r="O24" s="62" t="str">
        <x:v>Research complete</x:v>
      </x:c>
      <x:c r="P24" s="68" t="str">
        <x:v>2026-08-30</x:v>
      </x:c>
      <x:c r="Q24" s="62" t="str">
        <x:v>https://www.crossingeurope.at/en/festival/contact/contact_form</x:v>
      </x:c>
    </x:row>
    <x:row r="25" ht="62" customHeight="1">
      <x:c r="A25" s="67" t="n">
        <x:v>20</x:v>
      </x:c>
      <x:c r="B25" s="67" t="str">
        <x:v>P2</x:v>
      </x:c>
      <x:c r="C25" s="62" t="str">
        <x:v>VIENNA DESIGN WEEK</x:v>
      </x:c>
      <x:c r="D25" s="62" t="str">
        <x:v>Festival</x:v>
      </x:c>
      <x:c r="E25" s="62" t="str">
        <x:v>Vienna</x:v>
      </x:c>
      <x:c r="F25" s="62" t="str">
        <x:v>Design festival with distributed partner locations</x:v>
      </x:c>
      <x:c r="G25" s="62" t="str">
        <x:v>Managed programme-map pilot</x:v>
      </x:c>
      <x:c r="H25" s="62" t="str">
        <x:v>Festival management / programme</x:v>
      </x:c>
      <x:c r="I25" s="62" t="str"/>
      <x:c r="J25" s="62" t="str">
        <x:v>https://www.viennadesignweek.at/</x:v>
      </x:c>
      <x:c r="K25" s="62" t="str">
        <x:v>https://www.viennadesignweek.at/</x:v>
      </x:c>
      <x:c r="L25" s="62" t="str">
        <x:v>No current general email verified</x:v>
      </x:c>
      <x:c r="M25" s="62" t="str">
        <x:v>Use a current contact form or warm design-sector introduction</x:v>
      </x:c>
      <x:c r="N25" s="62" t="str">
        <x:v>A platform programme across many design locations is inherently map-led</x:v>
      </x:c>
      <x:c r="O25" s="62" t="str">
        <x:v>Needs contact re-verification</x:v>
      </x:c>
      <x:c r="P25" s="68" t="str">
        <x:v>2026-08-30</x:v>
      </x:c>
      <x:c r="Q25" s="62" t="str">
        <x:v>https://www.viennadesignweek.at/site/assets/files/20093/platform_24_en.pdf</x:v>
      </x:c>
    </x:row>
    <x:row r="26" ht="62" customHeight="1">
      <x:c r="A26" s="67" t="n">
        <x:v>21</x:v>
      </x:c>
      <x:c r="B26" s="67" t="str">
        <x:v>P2</x:v>
      </x:c>
      <x:c r="C26" s="62" t="str">
        <x:v>Barracuda Music</x:v>
      </x:c>
      <x:c r="D26" s="62" t="str">
        <x:v>Festival / promoter group</x:v>
      </x:c>
      <x:c r="E26" s="62" t="str">
        <x:v>Austria-wide</x:v>
      </x:c>
      <x:c r="F26" s="62" t="str">
        <x:v>Promoter behind multiple large festivals and concerts</x:v>
      </x:c>
      <x:c r="G26" s="62" t="str">
        <x:v>Managed programme-map pilot</x:v>
      </x:c>
      <x:c r="H26" s="62" t="str">
        <x:v>Business development / digital</x:v>
      </x:c>
      <x:c r="I26" s="62" t="str">
        <x:v>office@barracudamusic.at</x:v>
      </x:c>
      <x:c r="J26" s="62" t="str">
        <x:v>https://www.barracudamusic.at/impressum/</x:v>
      </x:c>
      <x:c r="K26" s="62" t="str">
        <x:v>https://www.barracudamusic.at/</x:v>
      </x:c>
      <x:c r="L26" s="62" t="str">
        <x:v>Public business contact only — no consent</x:v>
      </x:c>
      <x:c r="M26" s="62" t="str">
        <x:v>Warm live-music industry introduction</x:v>
      </x:c>
      <x:c r="N26" s="62" t="str">
        <x:v>One pilot could prove a repeatable format across several promoter brands</x:v>
      </x:c>
      <x:c r="O26" s="62" t="str">
        <x:v>Research complete</x:v>
      </x:c>
      <x:c r="P26" s="68" t="str">
        <x:v>2026-08-30</x:v>
      </x:c>
      <x:c r="Q26" s="62" t="str">
        <x:v>https://www.barracudamusic.at/impressum/</x:v>
      </x:c>
    </x:row>
    <x:row r="27" ht="62" customHeight="1">
      <x:c r="A27" s="67" t="n">
        <x:v>22</x:v>
      </x:c>
      <x:c r="B27" s="67" t="str">
        <x:v>P2</x:v>
      </x:c>
      <x:c r="C27" s="62" t="str">
        <x:v>Arcadia Live</x:v>
      </x:c>
      <x:c r="D27" s="62" t="str">
        <x:v>Concert promoter</x:v>
      </x:c>
      <x:c r="E27" s="62" t="str">
        <x:v>Vienna / Austria-wide</x:v>
      </x:c>
      <x:c r="F27" s="62" t="str">
        <x:v>Concert and festival promoter with recurring programmes</x:v>
      </x:c>
      <x:c r="G27" s="62" t="str">
        <x:v>Managed programme-map pilot</x:v>
      </x:c>
      <x:c r="H27" s="62" t="str">
        <x:v>Management / marketing</x:v>
      </x:c>
      <x:c r="I27" s="62" t="str">
        <x:v>office@arcadia-live.com</x:v>
      </x:c>
      <x:c r="J27" s="62" t="str">
        <x:v>https://arcadia-live.com/impressum/</x:v>
      </x:c>
      <x:c r="K27" s="62" t="str">
        <x:v>https://arcadia-live.com/</x:v>
      </x:c>
      <x:c r="L27" s="62" t="str">
        <x:v>Public business contact only — no consent</x:v>
      </x:c>
      <x:c r="M27" s="62" t="str">
        <x:v>Warm live-music industry introduction</x:v>
      </x:c>
      <x:c r="N27" s="62" t="str">
        <x:v>Recurring event portfolio can test a lightweight hosted discovery layer</x:v>
      </x:c>
      <x:c r="O27" s="62" t="str">
        <x:v>Research complete</x:v>
      </x:c>
      <x:c r="P27" s="68" t="str">
        <x:v>2026-08-30</x:v>
      </x:c>
      <x:c r="Q27" s="62" t="str">
        <x:v>https://arcadia-live.com/impressum/</x:v>
      </x:c>
    </x:row>
    <x:row r="28" ht="62" customHeight="1">
      <x:c r="A28" s="67" t="n">
        <x:v>23</x:v>
      </x:c>
      <x:c r="B28" s="67" t="str">
        <x:v>P2</x:v>
      </x:c>
      <x:c r="C28" s="62" t="str">
        <x:v>Leutgeb Entertainment Group</x:v>
      </x:c>
      <x:c r="D28" s="62" t="str">
        <x:v>Concert promoter</x:v>
      </x:c>
      <x:c r="E28" s="62" t="str">
        <x:v>Salzburg / Austria-wide</x:v>
      </x:c>
      <x:c r="F28" s="62" t="str">
        <x:v>Large concerts and entertainment productions</x:v>
      </x:c>
      <x:c r="G28" s="62" t="str">
        <x:v>Managed programme-map pilot</x:v>
      </x:c>
      <x:c r="H28" s="62" t="str">
        <x:v>Marketing</x:v>
      </x:c>
      <x:c r="I28" s="62" t="str">
        <x:v>marketing@leutgebgroup.com</x:v>
      </x:c>
      <x:c r="J28" s="62" t="str">
        <x:v>https://www.leutgebgroup.com/team/</x:v>
      </x:c>
      <x:c r="K28" s="62" t="str">
        <x:v>https://www.leutgebgroup.com/</x:v>
      </x:c>
      <x:c r="L28" s="62" t="str">
        <x:v>Public role contact only — no consent</x:v>
      </x:c>
      <x:c r="M28" s="62" t="str">
        <x:v>Warm entertainment-industry introduction</x:v>
      </x:c>
      <x:c r="N28" s="62" t="str">
        <x:v>Large-site visitor information could complement ticketing and venue operations</x:v>
      </x:c>
      <x:c r="O28" s="62" t="str">
        <x:v>Research complete</x:v>
      </x:c>
      <x:c r="P28" s="68" t="str">
        <x:v>2026-08-30</x:v>
      </x:c>
      <x:c r="Q28" s="62" t="str">
        <x:v>https://www.leutgebgroup.com/team/</x:v>
      </x:c>
    </x:row>
    <x:row r="29" ht="62" customHeight="1">
      <x:c r="A29" s="67" t="n">
        <x:v>24</x:v>
      </x:c>
      <x:c r="B29" s="67" t="str">
        <x:v>P2</x:v>
      </x:c>
      <x:c r="C29" s="62" t="str">
        <x:v>Design Center Linz</x:v>
      </x:c>
      <x:c r="D29" s="62" t="str">
        <x:v>Convention / event venue</x:v>
      </x:c>
      <x:c r="E29" s="62" t="str">
        <x:v>Upper Austria</x:v>
      </x:c>
      <x:c r="F29" s="62" t="str">
        <x:v>Large venue with varied public and business events</x:v>
      </x:c>
      <x:c r="G29" s="62" t="str">
        <x:v>Managed venue-programme pilot</x:v>
      </x:c>
      <x:c r="H29" s="62" t="str">
        <x:v>Sales / event consulting</x:v>
      </x:c>
      <x:c r="I29" s="62" t="str">
        <x:v>anfrage@design-center.at</x:v>
      </x:c>
      <x:c r="J29" s="62" t="str">
        <x:v>https://www.design-center.at/kontakt</x:v>
      </x:c>
      <x:c r="K29" s="62" t="str">
        <x:v>https://www.design-center.at/</x:v>
      </x:c>
      <x:c r="L29" s="62" t="str">
        <x:v>Inbound event-inquiry channel; vendor proposal fit unverified</x:v>
      </x:c>
      <x:c r="M29" s="62" t="str">
        <x:v>Warm Linz business-events introduction</x:v>
      </x:c>
      <x:c r="N29" s="62" t="str">
        <x:v>A local venue pilot can demonstrate schedules, rooms and surrounding discovery</x:v>
      </x:c>
      <x:c r="O29" s="62" t="str">
        <x:v>Research complete</x:v>
      </x:c>
      <x:c r="P29" s="68" t="str">
        <x:v>2026-08-30</x:v>
      </x:c>
      <x:c r="Q29" s="62" t="str">
        <x:v>https://www.design-center.at/kontakt</x:v>
      </x:c>
    </x:row>
    <x:row r="30" ht="62" customHeight="1">
      <x:c r="A30" s="67" t="n">
        <x:v>25</x:v>
      </x:c>
      <x:c r="B30" s="67" t="str">
        <x:v>P2</x:v>
      </x:c>
      <x:c r="C30" s="62" t="str">
        <x:v>Salzburg Congress</x:v>
      </x:c>
      <x:c r="D30" s="62" t="str">
        <x:v>Convention venue</x:v>
      </x:c>
      <x:c r="E30" s="62" t="str">
        <x:v>Salzburg</x:v>
      </x:c>
      <x:c r="F30" s="62" t="str">
        <x:v>City-centre congress venue with parallel event formats</x:v>
      </x:c>
      <x:c r="G30" s="62" t="str">
        <x:v>Managed event-map pilot</x:v>
      </x:c>
      <x:c r="H30" s="62" t="str">
        <x:v>Sales / marketing</x:v>
      </x:c>
      <x:c r="I30" s="62" t="str">
        <x:v>info@salzburgcongress.at</x:v>
      </x:c>
      <x:c r="J30" s="62" t="str">
        <x:v>https://www.salzburgcongress.at/</x:v>
      </x:c>
      <x:c r="K30" s="62" t="str">
        <x:v>https://www.salzburgcongress.at/</x:v>
      </x:c>
      <x:c r="L30" s="62" t="str">
        <x:v>Public business contact only — no consent</x:v>
      </x:c>
      <x:c r="M30" s="62" t="str">
        <x:v>Meet through convention-industry network</x:v>
      </x:c>
      <x:c r="N30" s="62" t="str">
        <x:v>A mobile schedule and room map can complement existing event systems</x:v>
      </x:c>
      <x:c r="O30" s="62" t="str">
        <x:v>Research complete</x:v>
      </x:c>
      <x:c r="P30" s="68" t="str">
        <x:v>2026-08-30</x:v>
      </x:c>
      <x:c r="Q30" s="62" t="str">
        <x:v>https://convention.austria.info/fileadmin/user_upload/Media_Library/convention.austria.info/OeW-VZ-IMEX-2024.pdf</x:v>
      </x:c>
    </x:row>
    <x:row r="31" ht="62" customHeight="1">
      <x:c r="A31" s="67" t="n">
        <x:v>26</x:v>
      </x:c>
      <x:c r="B31" s="67" t="str">
        <x:v>P2</x:v>
      </x:c>
      <x:c r="C31" s="62" t="str">
        <x:v>Congress Messe Innsbruck</x:v>
      </x:c>
      <x:c r="D31" s="62" t="str">
        <x:v>Convention / fair venue</x:v>
      </x:c>
      <x:c r="E31" s="62" t="str">
        <x:v>Tyrol</x:v>
      </x:c>
      <x:c r="F31" s="62" t="str">
        <x:v>Congress and exhibition campuses with multiple spaces</x:v>
      </x:c>
      <x:c r="G31" s="62" t="str">
        <x:v>Managed event-map pilot</x:v>
      </x:c>
      <x:c r="H31" s="62" t="str">
        <x:v>Congress sales / digital</x:v>
      </x:c>
      <x:c r="I31" s="62" t="str">
        <x:v>congress@cmi.at</x:v>
      </x:c>
      <x:c r="J31" s="62" t="str">
        <x:v>https://www.cmi.at/</x:v>
      </x:c>
      <x:c r="K31" s="62" t="str">
        <x:v>https://www.cmi.at/</x:v>
      </x:c>
      <x:c r="L31" s="62" t="str">
        <x:v>Public business contact only — no consent</x:v>
      </x:c>
      <x:c r="M31" s="62" t="str">
        <x:v>Meet through convention-industry network</x:v>
      </x:c>
      <x:c r="N31" s="62" t="str">
        <x:v>Parallel rooms, exhibitions and city context suit a hosted delegate map</x:v>
      </x:c>
      <x:c r="O31" s="62" t="str">
        <x:v>Research complete</x:v>
      </x:c>
      <x:c r="P31" s="68" t="str">
        <x:v>2026-08-30</x:v>
      </x:c>
      <x:c r="Q31" s="62" t="str">
        <x:v>https://convention.austria.info/fileadmin/user_upload/Media_Library/convention.austria.info/OeW-VZ-IMEX-2024.pdf</x:v>
      </x:c>
    </x:row>
    <x:row r="32" ht="62" customHeight="1">
      <x:c r="A32" s="67" t="n">
        <x:v>27</x:v>
      </x:c>
      <x:c r="B32" s="67" t="str">
        <x:v>P2</x:v>
      </x:c>
      <x:c r="C32" s="62" t="str">
        <x:v>Messe Congress Graz</x:v>
      </x:c>
      <x:c r="D32" s="62" t="str">
        <x:v>Convention / fair venue</x:v>
      </x:c>
      <x:c r="E32" s="62" t="str">
        <x:v>Styria</x:v>
      </x:c>
      <x:c r="F32" s="62" t="str">
        <x:v>Several venues and a large event calendar</x:v>
      </x:c>
      <x:c r="G32" s="62" t="str">
        <x:v>Managed event-map pilot</x:v>
      </x:c>
      <x:c r="H32" s="62" t="str">
        <x:v>Sales / digital / marketing</x:v>
      </x:c>
      <x:c r="I32" s="62" t="str">
        <x:v>office@mcg.at</x:v>
      </x:c>
      <x:c r="J32" s="62" t="str">
        <x:v>https://www.mcg.at/</x:v>
      </x:c>
      <x:c r="K32" s="62" t="str">
        <x:v>https://www.mcg.at/</x:v>
      </x:c>
      <x:c r="L32" s="62" t="str">
        <x:v>Public business contact only — no consent</x:v>
      </x:c>
      <x:c r="M32" s="62" t="str">
        <x:v>Meet through Graz or convention-industry network</x:v>
      </x:c>
      <x:c r="N32" s="62" t="str">
        <x:v>A multi-hall event can test visitor navigation and programme filters</x:v>
      </x:c>
      <x:c r="O32" s="62" t="str">
        <x:v>Research complete</x:v>
      </x:c>
      <x:c r="P32" s="68" t="str">
        <x:v>2026-08-30</x:v>
      </x:c>
      <x:c r="Q32" s="62" t="str">
        <x:v>https://www.mcg.at/</x:v>
      </x:c>
    </x:row>
    <x:row r="33" ht="62" customHeight="1">
      <x:c r="A33" s="67" t="n">
        <x:v>28</x:v>
      </x:c>
      <x:c r="B33" s="67" t="str">
        <x:v>P2</x:v>
      </x:c>
      <x:c r="C33" s="62" t="str">
        <x:v>Austria Center Vienna</x:v>
      </x:c>
      <x:c r="D33" s="62" t="str">
        <x:v>Convention venue</x:v>
      </x:c>
      <x:c r="E33" s="62" t="str">
        <x:v>Vienna</x:v>
      </x:c>
      <x:c r="F33" s="62" t="str">
        <x:v>Large international congress centre</x:v>
      </x:c>
      <x:c r="G33" s="62" t="str">
        <x:v>Managed event-map pilot</x:v>
      </x:c>
      <x:c r="H33" s="62" t="str">
        <x:v>Sales / digital visitor experience</x:v>
      </x:c>
      <x:c r="I33" s="62" t="str">
        <x:v>office@acv.at</x:v>
      </x:c>
      <x:c r="J33" s="62" t="str">
        <x:v>https://www.acv.at/</x:v>
      </x:c>
      <x:c r="K33" s="62" t="str">
        <x:v>https://www.acv.at/</x:v>
      </x:c>
      <x:c r="L33" s="62" t="str">
        <x:v>Public business contact only — no consent</x:v>
      </x:c>
      <x:c r="M33" s="62" t="str">
        <x:v>Meet through ACB or event-tech network</x:v>
      </x:c>
      <x:c r="N33" s="62" t="str">
        <x:v>Large congresses need room, session and visitor navigation</x:v>
      </x:c>
      <x:c r="O33" s="62" t="str">
        <x:v>Research complete</x:v>
      </x:c>
      <x:c r="P33" s="68" t="str">
        <x:v>2026-08-30</x:v>
      </x:c>
      <x:c r="Q33" s="62" t="str">
        <x:v>https://www.acv.at/</x:v>
      </x:c>
    </x:row>
    <x:row r="34" ht="62" customHeight="1">
      <x:c r="A34" s="67" t="n">
        <x:v>29</x:v>
      </x:c>
      <x:c r="B34" s="67" t="str">
        <x:v>P2</x:v>
      </x:c>
      <x:c r="C34" s="62" t="str">
        <x:v>Messe Wels</x:v>
      </x:c>
      <x:c r="D34" s="62" t="str">
        <x:v>Fair / event venue</x:v>
      </x:c>
      <x:c r="E34" s="62" t="str">
        <x:v>Upper Austria</x:v>
      </x:c>
      <x:c r="F34" s="62" t="str">
        <x:v>Trade fairs and public events near Linz</x:v>
      </x:c>
      <x:c r="G34" s="62" t="str">
        <x:v>Managed event-map pilot</x:v>
      </x:c>
      <x:c r="H34" s="62" t="str">
        <x:v>Marketing / event management</x:v>
      </x:c>
      <x:c r="I34" s="62" t="str">
        <x:v>office@messe-wels.at</x:v>
      </x:c>
      <x:c r="J34" s="62" t="str">
        <x:v>https://messe-wels.at/</x:v>
      </x:c>
      <x:c r="K34" s="62" t="str">
        <x:v>https://messe-wels.at/</x:v>
      </x:c>
      <x:c r="L34" s="62" t="str">
        <x:v>Public business contact only — no consent</x:v>
      </x:c>
      <x:c r="M34" s="62" t="str">
        <x:v>Warm Upper Austria business-events introduction</x:v>
      </x:c>
      <x:c r="N34" s="62" t="str">
        <x:v>Nearby multi-hall public events fit a bounded regional pilot</x:v>
      </x:c>
      <x:c r="O34" s="62" t="str">
        <x:v>Research complete</x:v>
      </x:c>
      <x:c r="P34" s="68" t="str">
        <x:v>2026-08-30</x:v>
      </x:c>
      <x:c r="Q34" s="62" t="str">
        <x:v>https://messe-wels.at/</x:v>
      </x:c>
    </x:row>
    <x:row r="35" ht="62" customHeight="1">
      <x:c r="A35" s="67" t="n">
        <x:v>30</x:v>
      </x:c>
      <x:c r="B35" s="67" t="str">
        <x:v>P2</x:v>
      </x:c>
      <x:c r="C35" s="62" t="str">
        <x:v>Austrian Convention Bureau</x:v>
      </x:c>
      <x:c r="D35" s="62" t="str">
        <x:v>Industry association</x:v>
      </x:c>
      <x:c r="E35" s="62" t="str">
        <x:v>Austria-wide</x:v>
      </x:c>
      <x:c r="F35" s="62" t="str">
        <x:v>Access to convention venues and meeting professionals</x:v>
      </x:c>
      <x:c r="G35" s="62" t="str">
        <x:v>Referral / ecosystem partnership</x:v>
      </x:c>
      <x:c r="H35" s="62" t="str">
        <x:v>Management / member services</x:v>
      </x:c>
      <x:c r="I35" s="62" t="str">
        <x:v>office@acb.at</x:v>
      </x:c>
      <x:c r="J35" s="62" t="str">
        <x:v>https://www.acb.at/en/contact/</x:v>
      </x:c>
      <x:c r="K35" s="62" t="str">
        <x:v>https://www.acb.at/</x:v>
      </x:c>
      <x:c r="L35" s="62" t="str">
        <x:v>Contact form explicitly invites enquiries; marketing consent not implied</x:v>
      </x:c>
      <x:c r="M35" s="62" t="str">
        <x:v>Use the inquiry form for a relevant industry-partnership question</x:v>
      </x:c>
      <x:c r="N35" s="62" t="str">
        <x:v>A neutral introduction to one member pilot is more credible than broad venue outreach</x:v>
      </x:c>
      <x:c r="O35" s="62" t="str">
        <x:v>Research complete</x:v>
      </x:c>
      <x:c r="P35" s="68" t="str">
        <x:v>2026-08-30</x:v>
      </x:c>
      <x:c r="Q35" s="62" t="str">
        <x:v>https://www.acb.at/en/contact/</x:v>
      </x:c>
    </x:row>
    <x:row r="36" ht="62" customHeight="1">
      <x:c r="A36" s="67" t="n">
        <x:v>31</x:v>
      </x:c>
      <x:c r="B36" s="67" t="str">
        <x:v>P1</x:v>
      </x:c>
      <x:c r="C36" s="62" t="str">
        <x:v>Österreich Werbung</x:v>
      </x:c>
      <x:c r="D36" s="62" t="str">
        <x:v>National tourism organisation</x:v>
      </x:c>
      <x:c r="E36" s="62" t="str">
        <x:v>Austria-wide</x:v>
      </x:c>
      <x:c r="F36" s="62" t="str">
        <x:v>National tourism data and distribution ecosystem</x:v>
      </x:c>
      <x:c r="G36" s="62" t="str">
        <x:v>Authorised data/distribution partnership</x:v>
      </x:c>
      <x:c r="H36" s="62" t="str">
        <x:v>Digital products / data partnerships</x:v>
      </x:c>
      <x:c r="I36" s="62" t="str">
        <x:v>anfrage@austria.info</x:v>
      </x:c>
      <x:c r="J36" s="62" t="str">
        <x:v>https://www.austriatourism.com/ueber-uns/organisationsstruktur-oesterreich-werbung/</x:v>
      </x:c>
      <x:c r="K36" s="62" t="str">
        <x:v>https://www.austriatourism.com/</x:v>
      </x:c>
      <x:c r="L36" s="62" t="str">
        <x:v>Public business contact only — no consent</x:v>
      </x:c>
      <x:c r="M36" s="62" t="str">
        <x:v>Use existing tourism network or formal partnership enquiry</x:v>
      </x:c>
      <x:c r="N36" s="62" t="str">
        <x:v>An authorised feed could improve regional discovery while preserving source linkback</x:v>
      </x:c>
      <x:c r="O36" s="62" t="str">
        <x:v>Research complete</x:v>
      </x:c>
      <x:c r="P36" s="68" t="str">
        <x:v>2026-08-30</x:v>
      </x:c>
      <x:c r="Q36" s="62" t="str">
        <x:v>https://www.austriatourism.com/ueber-uns/organisationsstruktur-oesterreich-werbung/</x:v>
      </x:c>
    </x:row>
    <x:row r="37" ht="62" customHeight="1">
      <x:c r="A37" s="67" t="n">
        <x:v>32</x:v>
      </x:c>
      <x:c r="B37" s="67" t="str">
        <x:v>P1</x:v>
      </x:c>
      <x:c r="C37" s="62" t="str">
        <x:v>Oberösterreich Tourismus / TOURDATA</x:v>
      </x:c>
      <x:c r="D37" s="62" t="str">
        <x:v>Regional tourism data</x:v>
      </x:c>
      <x:c r="E37" s="62" t="str">
        <x:v>Upper Austria</x:v>
      </x:c>
      <x:c r="F37" s="62" t="str">
        <x:v>Structured tourism and event data close to Okolo's validation region</x:v>
      </x:c>
      <x:c r="G37" s="62" t="str">
        <x:v>Authorised data/distribution partnership</x:v>
      </x:c>
      <x:c r="H37" s="62" t="str">
        <x:v>TOURDATA / digital systems</x:v>
      </x:c>
      <x:c r="I37" s="62" t="str">
        <x:v>tourismus@oberoesterreich.at</x:v>
      </x:c>
      <x:c r="J37" s="62" t="str">
        <x:v>https://www.oberoesterreich-tourismus.at/service/service/tourdata.html</x:v>
      </x:c>
      <x:c r="K37" s="62" t="str">
        <x:v>https://www.oberoesterreich-tourismus.at/</x:v>
      </x:c>
      <x:c r="L37" s="62" t="str">
        <x:v>Public business contact only — no consent</x:v>
      </x:c>
      <x:c r="M37" s="62" t="str">
        <x:v>Warm regional tourism introduction</x:v>
      </x:c>
      <x:c r="N37" s="62" t="str">
        <x:v>Closest-fit data partnership for reliable Upper Austria coverage</x:v>
      </x:c>
      <x:c r="O37" s="62" t="str">
        <x:v>Research complete</x:v>
      </x:c>
      <x:c r="P37" s="68" t="str">
        <x:v>2026-08-30</x:v>
      </x:c>
      <x:c r="Q37" s="62" t="str">
        <x:v>https://www.oberoesterreich-tourismus.at/service/service/tourdata.html</x:v>
      </x:c>
    </x:row>
    <x:row r="38" ht="62" customHeight="1">
      <x:c r="A38" s="67" t="n">
        <x:v>33</x:v>
      </x:c>
      <x:c r="B38" s="67" t="str">
        <x:v>P1</x:v>
      </x:c>
      <x:c r="C38" s="62" t="str">
        <x:v>OÖ Familienkarte</x:v>
      </x:c>
      <x:c r="D38" s="62" t="str">
        <x:v>Family distribution partner</x:v>
      </x:c>
      <x:c r="E38" s="62" t="str">
        <x:v>Upper Austria</x:v>
      </x:c>
      <x:c r="F38" s="62" t="str">
        <x:v>Direct alignment with families and regional leisure events</x:v>
      </x:c>
      <x:c r="G38" s="62" t="str">
        <x:v>Distribution + approved data partnership</x:v>
      </x:c>
      <x:c r="H38" s="62" t="str">
        <x:v>Familienreferat / partner management</x:v>
      </x:c>
      <x:c r="I38" s="62" t="str">
        <x:v>familienreferat@ooe.gv.at</x:v>
      </x:c>
      <x:c r="J38" s="62" t="str">
        <x:v>https://www.familienkarte.at/de/downloads/slide.ansprechpartner.html</x:v>
      </x:c>
      <x:c r="K38" s="62" t="str">
        <x:v>https://www.familienkarte.at/</x:v>
      </x:c>
      <x:c r="L38" s="62" t="str">
        <x:v>Public public-service contact only — no consent</x:v>
      </x:c>
      <x:c r="M38" s="62" t="str">
        <x:v>Warm public-sector introduction; formal partnership proposal</x:v>
      </x:c>
      <x:c r="N38" s="62" t="str">
        <x:v>The audience and geography exactly match the current validation thesis</x:v>
      </x:c>
      <x:c r="O38" s="62" t="str">
        <x:v>Research complete</x:v>
      </x:c>
      <x:c r="P38" s="68" t="str">
        <x:v>2026-08-30</x:v>
      </x:c>
      <x:c r="Q38" s="62" t="str">
        <x:v>https://www.familienkarte.at/de/downloads/slide.ansprechpartner.html</x:v>
      </x:c>
    </x:row>
    <x:row r="39" ht="62" customHeight="1">
      <x:c r="A39" s="67" t="n">
        <x:v>34</x:v>
      </x:c>
      <x:c r="B39" s="67" t="str">
        <x:v>P1</x:v>
      </x:c>
      <x:c r="C39" s="62" t="str">
        <x:v>GEM2GO / RIS GmbH</x:v>
      </x:c>
      <x:c r="D39" s="62" t="str">
        <x:v>Municipal platform</x:v>
      </x:c>
      <x:c r="E39" s="62" t="str">
        <x:v>Austria-wide</x:v>
      </x:c>
      <x:c r="F39" s="62" t="str">
        <x:v>Digital platform serving municipalities</x:v>
      </x:c>
      <x:c r="G39" s="62" t="str">
        <x:v>Authorised integration / referral partnership</x:v>
      </x:c>
      <x:c r="H39" s="62" t="str">
        <x:v>Partnerships / product</x:v>
      </x:c>
      <x:c r="I39" s="62" t="str">
        <x:v>office@ris.at</x:v>
      </x:c>
      <x:c r="J39" s="62" t="str">
        <x:v>https://www.gem2go.info/werde_partner</x:v>
      </x:c>
      <x:c r="K39" s="62" t="str">
        <x:v>https://www.gem2go.info/</x:v>
      </x:c>
      <x:c r="L39" s="62" t="str">
        <x:v>Explicit partnership channel</x:v>
      </x:c>
      <x:c r="M39" s="62" t="str">
        <x:v>Use the official partner form with a focused integration proposition</x:v>
      </x:c>
      <x:c r="N39" s="62" t="str">
        <x:v>A municipal distribution partner could connect Okolo to local calendars without scraping</x:v>
      </x:c>
      <x:c r="O39" s="62" t="str">
        <x:v>Research complete</x:v>
      </x:c>
      <x:c r="P39" s="68" t="str">
        <x:v>2026-08-30</x:v>
      </x:c>
      <x:c r="Q39" s="62" t="str">
        <x:v>https://www.gem2go.info/werde_partner</x:v>
      </x:c>
    </x:row>
    <x:row r="40" ht="62" customHeight="1">
      <x:c r="A40" s="67" t="n">
        <x:v>35</x:v>
      </x:c>
      <x:c r="B40" s="67" t="str">
        <x:v>P2</x:v>
      </x:c>
      <x:c r="C40" s="62" t="str">
        <x:v>feratel media technologies</x:v>
      </x:c>
      <x:c r="D40" s="62" t="str">
        <x:v>Tourism technology platform</x:v>
      </x:c>
      <x:c r="E40" s="62" t="str">
        <x:v>Austria-wide</x:v>
      </x:c>
      <x:c r="F40" s="62" t="str">
        <x:v>Destination data and digital guest products</x:v>
      </x:c>
      <x:c r="G40" s="62" t="str">
        <x:v>Authorised integration partnership</x:v>
      </x:c>
      <x:c r="H40" s="62" t="str">
        <x:v>Product / destination solutions</x:v>
      </x:c>
      <x:c r="I40" s="62" t="str">
        <x:v>info@feratel.at</x:v>
      </x:c>
      <x:c r="J40" s="62" t="str">
        <x:v>https://www.feratel.at/produkte-a-z/</x:v>
      </x:c>
      <x:c r="K40" s="62" t="str">
        <x:v>https://www.feratel.at/</x:v>
      </x:c>
      <x:c r="L40" s="62" t="str">
        <x:v>Public business contact only — no consent</x:v>
      </x:c>
      <x:c r="M40" s="62" t="str">
        <x:v>Warm tourism-tech introduction or trade event</x:v>
      </x:c>
      <x:c r="N40" s="62" t="str">
        <x:v>Existing destination infrastructure makes an authorised interface discussion relevant</x:v>
      </x:c>
      <x:c r="O40" s="62" t="str">
        <x:v>Research complete</x:v>
      </x:c>
      <x:c r="P40" s="68" t="str">
        <x:v>2026-08-30</x:v>
      </x:c>
      <x:c r="Q40" s="62" t="str">
        <x:v>https://www.feratel.at/produkte-a-z/</x:v>
      </x:c>
    </x:row>
    <x:row r="41" ht="62" customHeight="1">
      <x:c r="A41" s="67" t="n">
        <x:v>36</x:v>
      </x:c>
      <x:c r="B41" s="67" t="str">
        <x:v>P2</x:v>
      </x:c>
      <x:c r="C41" s="62" t="str">
        <x:v>CTS Eventim Austria / oeticket</x:v>
      </x:c>
      <x:c r="D41" s="62" t="str">
        <x:v>Ticketing platform</x:v>
      </x:c>
      <x:c r="E41" s="62" t="str">
        <x:v>Austria-wide</x:v>
      </x:c>
      <x:c r="F41" s="62" t="str">
        <x:v>Authoritative event and ticket destination</x:v>
      </x:c>
      <x:c r="G41" s="62" t="str">
        <x:v>Referral / approved data partnership</x:v>
      </x:c>
      <x:c r="H41" s="62" t="str">
        <x:v>Business development / partnerships</x:v>
      </x:c>
      <x:c r="I41" s="62" t="str">
        <x:v>office@eventim.at</x:v>
      </x:c>
      <x:c r="J41" s="62" t="str">
        <x:v>https://www.oeticket.com/help/imprint/</x:v>
      </x:c>
      <x:c r="K41" s="62" t="str">
        <x:v>https://www.oeticket.com/</x:v>
      </x:c>
      <x:c r="L41" s="62" t="str">
        <x:v>Public business contact only — no consent</x:v>
      </x:c>
      <x:c r="M41" s="62" t="str">
        <x:v>Warm ticketing-industry introduction; partnership only</x:v>
      </x:c>
      <x:c r="N41" s="62" t="str">
        <x:v>Direct ticket links could make referral attribution useful if terms and access are agreed</x:v>
      </x:c>
      <x:c r="O41" s="62" t="str">
        <x:v>Research complete</x:v>
      </x:c>
      <x:c r="P41" s="68" t="str">
        <x:v>2026-08-30</x:v>
      </x:c>
      <x:c r="Q41" s="62" t="str">
        <x:v>https://www.oeticket.com/help/imprint/</x:v>
      </x:c>
    </x:row>
    <x:row r="42" ht="62" customHeight="1">
      <x:c r="A42" s="67" t="n">
        <x:v>37</x:v>
      </x:c>
      <x:c r="B42" s="67" t="str">
        <x:v>P2</x:v>
      </x:c>
      <x:c r="C42" s="62" t="str">
        <x:v>Eventjet</x:v>
      </x:c>
      <x:c r="D42" s="62" t="str">
        <x:v>Event technology platform</x:v>
      </x:c>
      <x:c r="E42" s="62" t="str">
        <x:v>Austria-wide</x:v>
      </x:c>
      <x:c r="F42" s="62" t="str">
        <x:v>Ticketing and organiser software</x:v>
      </x:c>
      <x:c r="G42" s="62" t="str">
        <x:v>Referral / product partnership</x:v>
      </x:c>
      <x:c r="H42" s="62" t="str">
        <x:v>Partnerships / product</x:v>
      </x:c>
      <x:c r="I42" s="62" t="str"/>
      <x:c r="J42" s="62" t="str">
        <x:v>https://events.eventjet.at/kontakt/</x:v>
      </x:c>
      <x:c r="K42" s="62" t="str">
        <x:v>https://about.eventjet.at/</x:v>
      </x:c>
      <x:c r="L42" s="62" t="str">
        <x:v>No verified sales email; contact form only</x:v>
      </x:c>
      <x:c r="M42" s="62" t="str">
        <x:v>Use the current contact form only after scope fit is confirmed</x:v>
      </x:c>
      <x:c r="N42" s="62" t="str">
        <x:v>A complementary map experience could sit beside organiser ticketing rather than replace it</x:v>
      </x:c>
      <x:c r="O42" s="62" t="str">
        <x:v>Needs contact re-verification</x:v>
      </x:c>
      <x:c r="P42" s="68" t="str">
        <x:v>2026-08-30</x:v>
      </x:c>
      <x:c r="Q42" s="62" t="str">
        <x:v>https://about.eventjet.at/funktionen/</x:v>
      </x:c>
    </x:row>
    <x:row r="43" ht="62" customHeight="1">
      <x:c r="A43" s="67" t="n">
        <x:v>38</x:v>
      </x:c>
      <x:c r="B43" s="67" t="str">
        <x:v>P2</x:v>
      </x:c>
      <x:c r="C43" s="62" t="str">
        <x:v>WienTourismus</x:v>
      </x:c>
      <x:c r="D43" s="62" t="str">
        <x:v>City tourism organisation</x:v>
      </x:c>
      <x:c r="E43" s="62" t="str">
        <x:v>Vienna</x:v>
      </x:c>
      <x:c r="F43" s="62" t="str">
        <x:v>Major city event discovery and B2B ecosystem</x:v>
      </x:c>
      <x:c r="G43" s="62" t="str">
        <x:v>Authorised data/distribution partnership</x:v>
      </x:c>
      <x:c r="H43" s="62" t="str">
        <x:v>B2B / digital products</x:v>
      </x:c>
      <x:c r="I43" s="62" t="str">
        <x:v>wtv@wien.info</x:v>
      </x:c>
      <x:c r="J43" s="62" t="str">
        <x:v>https://b2b.wien.info/de/reiseplanung/kontakt</x:v>
      </x:c>
      <x:c r="K43" s="62" t="str">
        <x:v>https://b2b.wien.info/</x:v>
      </x:c>
      <x:c r="L43" s="62" t="str">
        <x:v>Public business contact only — no consent</x:v>
      </x:c>
      <x:c r="M43" s="62" t="str">
        <x:v>Formal B2B enquiry or tourism-industry introduction</x:v>
      </x:c>
      <x:c r="N43" s="62" t="str">
        <x:v>A city-level distribution discussion is relevant after the Linz proof period</x:v>
      </x:c>
      <x:c r="O43" s="62" t="str">
        <x:v>Research complete</x:v>
      </x:c>
      <x:c r="P43" s="68" t="str">
        <x:v>2026-08-30</x:v>
      </x:c>
      <x:c r="Q43" s="62" t="str">
        <x:v>https://b2b.wien.info/de/reiseplanung/kontakt</x:v>
      </x:c>
    </x:row>
    <x:row r="44" ht="62" customHeight="1">
      <x:c r="A44" s="67" t="n">
        <x:v>39</x:v>
      </x:c>
      <x:c r="B44" s="67" t="str">
        <x:v>P2</x:v>
      </x:c>
      <x:c r="C44" s="62" t="str">
        <x:v>Graz Tourismus &amp; Stadtmarketing</x:v>
      </x:c>
      <x:c r="D44" s="62" t="str">
        <x:v>City tourism organisation</x:v>
      </x:c>
      <x:c r="E44" s="62" t="str">
        <x:v>Styria</x:v>
      </x:c>
      <x:c r="F44" s="62" t="str">
        <x:v>City event discovery and partner network</x:v>
      </x:c>
      <x:c r="G44" s="62" t="str">
        <x:v>Authorised data/distribution partnership</x:v>
      </x:c>
      <x:c r="H44" s="62" t="str">
        <x:v>Digital / partner services</x:v>
      </x:c>
      <x:c r="I44" s="62" t="str">
        <x:v>info@graztourismus.at</x:v>
      </x:c>
      <x:c r="J44" s="62" t="str">
        <x:v>https://www.graztourismus.at/de/kontakt-team</x:v>
      </x:c>
      <x:c r="K44" s="62" t="str">
        <x:v>https://www.graztourismus.at/</x:v>
      </x:c>
      <x:c r="L44" s="62" t="str">
        <x:v>Public business contact only — no consent</x:v>
      </x:c>
      <x:c r="M44" s="62" t="str">
        <x:v>Warm tourism introduction; defer rollout until validation gate</x:v>
      </x:c>
      <x:c r="N44" s="62" t="str">
        <x:v>Can introduce organisers and discuss authorised regional sources</x:v>
      </x:c>
      <x:c r="O44" s="62" t="str">
        <x:v>Research complete</x:v>
      </x:c>
      <x:c r="P44" s="68" t="str">
        <x:v>2026-08-30</x:v>
      </x:c>
      <x:c r="Q44" s="62" t="str">
        <x:v>https://www.graztourismus.at/de/kontakt-team</x:v>
      </x:c>
    </x:row>
    <x:row r="45" ht="62" customHeight="1">
      <x:c r="A45" s="67" t="n">
        <x:v>40</x:v>
      </x:c>
      <x:c r="B45" s="67" t="str">
        <x:v>P2</x:v>
      </x:c>
      <x:c r="C45" s="62" t="str">
        <x:v>Steiermark Tourismus</x:v>
      </x:c>
      <x:c r="D45" s="62" t="str">
        <x:v>Regional tourism organisation</x:v>
      </x:c>
      <x:c r="E45" s="62" t="str">
        <x:v>Styria</x:v>
      </x:c>
      <x:c r="F45" s="62" t="str">
        <x:v>Regional content, destinations and partner network</x:v>
      </x:c>
      <x:c r="G45" s="62" t="str">
        <x:v>Authorised data/distribution partnership</x:v>
      </x:c>
      <x:c r="H45" s="62" t="str">
        <x:v>Digital / data / partnerships</x:v>
      </x:c>
      <x:c r="I45" s="62" t="str">
        <x:v>info@steiermark.com</x:v>
      </x:c>
      <x:c r="J45" s="62" t="str">
        <x:v>https://www.steiermark.com/de/B2B/Unternehmen/Team</x:v>
      </x:c>
      <x:c r="K45" s="62" t="str">
        <x:v>https://www.steiermark.com/</x:v>
      </x:c>
      <x:c r="L45" s="62" t="str">
        <x:v>Public business contact only — no consent</x:v>
      </x:c>
      <x:c r="M45" s="62" t="str">
        <x:v>Tourism-industry introduction; explore only after regional proof</x:v>
      </x:c>
      <x:c r="N45" s="62" t="str">
        <x:v>Potential authorised regional data partner</x:v>
      </x:c>
      <x:c r="O45" s="62" t="str">
        <x:v>Research complete</x:v>
      </x:c>
      <x:c r="P45" s="68" t="str">
        <x:v>2026-08-30</x:v>
      </x:c>
      <x:c r="Q45" s="62" t="str">
        <x:v>https://www.steiermark.com/de/B2B/Unternehmen/Team</x:v>
      </x:c>
    </x:row>
    <x:row r="46" ht="62" customHeight="1">
      <x:c r="A46" s="67" t="n">
        <x:v>41</x:v>
      </x:c>
      <x:c r="B46" s="67" t="str">
        <x:v>P2</x:v>
      </x:c>
      <x:c r="C46" s="62" t="str">
        <x:v>SalzburgerLand Tourismus</x:v>
      </x:c>
      <x:c r="D46" s="62" t="str">
        <x:v>Regional tourism organisation</x:v>
      </x:c>
      <x:c r="E46" s="62" t="str">
        <x:v>Salzburg</x:v>
      </x:c>
      <x:c r="F46" s="62" t="str">
        <x:v>Regional event and destination distribution</x:v>
      </x:c>
      <x:c r="G46" s="62" t="str">
        <x:v>Authorised data/distribution partnership</x:v>
      </x:c>
      <x:c r="H46" s="62" t="str">
        <x:v>Partner management / digital</x:v>
      </x:c>
      <x:c r="I46" s="62" t="str">
        <x:v>info@salzburgerland.com</x:v>
      </x:c>
      <x:c r="J46" s="62" t="str">
        <x:v>https://b2b.salzburgerland.com/</x:v>
      </x:c>
      <x:c r="K46" s="62" t="str">
        <x:v>https://www.salzburgerland.com/</x:v>
      </x:c>
      <x:c r="L46" s="62" t="str">
        <x:v>Public business contact only — no consent</x:v>
      </x:c>
      <x:c r="M46" s="62" t="str">
        <x:v>B2B tourism event or warm introduction</x:v>
      </x:c>
      <x:c r="N46" s="62" t="str">
        <x:v>Potential regional partner after a validated Linz playbook</x:v>
      </x:c>
      <x:c r="O46" s="62" t="str">
        <x:v>Research complete</x:v>
      </x:c>
      <x:c r="P46" s="68" t="str">
        <x:v>2026-08-30</x:v>
      </x:c>
      <x:c r="Q46" s="62" t="str">
        <x:v>https://b2b.salzburgerland.com/mitarbeiter/ehaselsteiner/</x:v>
      </x:c>
    </x:row>
    <x:row r="47" ht="62" customHeight="1">
      <x:c r="A47" s="67" t="n">
        <x:v>42</x:v>
      </x:c>
      <x:c r="B47" s="67" t="str">
        <x:v>P2</x:v>
      </x:c>
      <x:c r="C47" s="62" t="str">
        <x:v>Tirol Werbung</x:v>
      </x:c>
      <x:c r="D47" s="62" t="str">
        <x:v>Regional tourism organisation</x:v>
      </x:c>
      <x:c r="E47" s="62" t="str">
        <x:v>Tyrol</x:v>
      </x:c>
      <x:c r="F47" s="62" t="str">
        <x:v>Regional tourism data and partner services</x:v>
      </x:c>
      <x:c r="G47" s="62" t="str">
        <x:v>Authorised data/distribution partnership</x:v>
      </x:c>
      <x:c r="H47" s="62" t="str">
        <x:v>Digital services / data</x:v>
      </x:c>
      <x:c r="I47" s="62" t="str">
        <x:v>info@tirol.at</x:v>
      </x:c>
      <x:c r="J47" s="62" t="str">
        <x:v>https://www.tirolwerbung.at/service/kontakt</x:v>
      </x:c>
      <x:c r="K47" s="62" t="str">
        <x:v>https://www.tirolwerbung.at/</x:v>
      </x:c>
      <x:c r="L47" s="62" t="str">
        <x:v>Public business contact only — no consent</x:v>
      </x:c>
      <x:c r="M47" s="62" t="str">
        <x:v>Tourism-industry introduction; request correct data contact</x:v>
      </x:c>
      <x:c r="N47" s="62" t="str">
        <x:v>Potential regional partner after validation</x:v>
      </x:c>
      <x:c r="O47" s="62" t="str">
        <x:v>Research complete</x:v>
      </x:c>
      <x:c r="P47" s="68" t="str">
        <x:v>2026-08-30</x:v>
      </x:c>
      <x:c r="Q47" s="62" t="str">
        <x:v>https://www.tirolwerbung.at/service/kontakt</x:v>
      </x:c>
    </x:row>
    <x:row r="48" ht="62" customHeight="1">
      <x:c r="A48" s="67" t="n">
        <x:v>43</x:v>
      </x:c>
      <x:c r="B48" s="67" t="str">
        <x:v>P2</x:v>
      </x:c>
      <x:c r="C48" s="62" t="str">
        <x:v>Niederösterreich Werbung</x:v>
      </x:c>
      <x:c r="D48" s="62" t="str">
        <x:v>Regional tourism organisation</x:v>
      </x:c>
      <x:c r="E48" s="62" t="str">
        <x:v>Lower Austria</x:v>
      </x:c>
      <x:c r="F48" s="62" t="str">
        <x:v>Regional digital systems and event discovery</x:v>
      </x:c>
      <x:c r="G48" s="62" t="str">
        <x:v>Authorised data/distribution partnership</x:v>
      </x:c>
      <x:c r="H48" s="62" t="str">
        <x:v>Digital systems / partner management</x:v>
      </x:c>
      <x:c r="I48" s="62" t="str">
        <x:v>office@noe.co.at</x:v>
      </x:c>
      <x:c r="J48" s="62" t="str">
        <x:v>https://www.niederoesterreich.at/b2b/team</x:v>
      </x:c>
      <x:c r="K48" s="62" t="str">
        <x:v>https://www.niederoesterreich.at/</x:v>
      </x:c>
      <x:c r="L48" s="62" t="str">
        <x:v>Public business contact only — no consent</x:v>
      </x:c>
      <x:c r="M48" s="62" t="str">
        <x:v>Warm NÖ tourism or NÖKU introduction</x:v>
      </x:c>
      <x:c r="N48" s="62" t="str">
        <x:v>Connects regional event supply with tourism audiences</x:v>
      </x:c>
      <x:c r="O48" s="62" t="str">
        <x:v>Research complete</x:v>
      </x:c>
      <x:c r="P48" s="68" t="str">
        <x:v>2026-08-30</x:v>
      </x:c>
      <x:c r="Q48" s="62" t="str">
        <x:v>https://www.niederoesterreich.at/b2b/team</x:v>
      </x:c>
    </x:row>
    <x:row r="49" ht="62" customHeight="1">
      <x:c r="A49" s="67" t="n">
        <x:v>44</x:v>
      </x:c>
      <x:c r="B49" s="67" t="str">
        <x:v>P2</x:v>
      </x:c>
      <x:c r="C49" s="62" t="str">
        <x:v>Kärnten Werbung</x:v>
      </x:c>
      <x:c r="D49" s="62" t="str">
        <x:v>Regional tourism organisation</x:v>
      </x:c>
      <x:c r="E49" s="62" t="str">
        <x:v>Carinthia</x:v>
      </x:c>
      <x:c r="F49" s="62" t="str">
        <x:v>Regional tourism marketing, data and innovation</x:v>
      </x:c>
      <x:c r="G49" s="62" t="str">
        <x:v>Authorised data/distribution partnership</x:v>
      </x:c>
      <x:c r="H49" s="62" t="str">
        <x:v>Innovation / digital / data</x:v>
      </x:c>
      <x:c r="I49" s="62" t="str">
        <x:v>info@kaernten.at</x:v>
      </x:c>
      <x:c r="J49" s="62" t="str">
        <x:v>https://www.kaernten.at/b2b/unternehmen/team/</x:v>
      </x:c>
      <x:c r="K49" s="62" t="str">
        <x:v>https://www.kaernten.at/</x:v>
      </x:c>
      <x:c r="L49" s="62" t="str">
        <x:v>Public business contact only — no consent</x:v>
      </x:c>
      <x:c r="M49" s="62" t="str">
        <x:v>Tourism-industry introduction; request data-product owner</x:v>
      </x:c>
      <x:c r="N49" s="62" t="str">
        <x:v>Potential authorised regional source after validation</x:v>
      </x:c>
      <x:c r="O49" s="62" t="str">
        <x:v>Research complete</x:v>
      </x:c>
      <x:c r="P49" s="68" t="str">
        <x:v>2026-08-30</x:v>
      </x:c>
      <x:c r="Q49" s="62" t="str">
        <x:v>https://www.kaernten.at/b2b/unternehmen/team/</x:v>
      </x:c>
    </x:row>
    <x:row r="50" ht="62" customHeight="1">
      <x:c r="A50" s="67" t="n">
        <x:v>45</x:v>
      </x:c>
      <x:c r="B50" s="67" t="str">
        <x:v>P2</x:v>
      </x:c>
      <x:c r="C50" s="62" t="str">
        <x:v>Vorarlberg Tourismus</x:v>
      </x:c>
      <x:c r="D50" s="62" t="str">
        <x:v>Regional tourism organisation</x:v>
      </x:c>
      <x:c r="E50" s="62" t="str">
        <x:v>Vorarlberg</x:v>
      </x:c>
      <x:c r="F50" s="62" t="str">
        <x:v>B2B tourism partner network and destination data</x:v>
      </x:c>
      <x:c r="G50" s="62" t="str">
        <x:v>Authorised data/distribution partnership</x:v>
      </x:c>
      <x:c r="H50" s="62" t="str">
        <x:v>B2B / digital</x:v>
      </x:c>
      <x:c r="I50" s="62" t="str">
        <x:v>b2b@vorarlberg.travel</x:v>
      </x:c>
      <x:c r="J50" s="62" t="str">
        <x:v>https://www.vorarlberg.travel/b2b/</x:v>
      </x:c>
      <x:c r="K50" s="62" t="str">
        <x:v>https://www.vorarlberg.travel/</x:v>
      </x:c>
      <x:c r="L50" s="62" t="str">
        <x:v>Explicit B2B channel; proposal-purpose fit still required</x:v>
      </x:c>
      <x:c r="M50" s="62" t="str">
        <x:v>Use the B2B channel with a specific authorised-data question</x:v>
      </x:c>
      <x:c r="N50" s="62" t="str">
        <x:v>Potential regional distribution partner after validation</x:v>
      </x:c>
      <x:c r="O50" s="62" t="str">
        <x:v>Research complete</x:v>
      </x:c>
      <x:c r="P50" s="68" t="str">
        <x:v>2026-08-30</x:v>
      </x:c>
      <x:c r="Q50" s="62" t="str">
        <x:v>https://www.vorarlberg.travel/b2b/</x:v>
      </x:c>
    </x:row>
    <x:row r="51" ht="62" customHeight="1">
      <x:c r="A51" s="67" t="n">
        <x:v>46</x:v>
      </x:c>
      <x:c r="B51" s="67" t="str">
        <x:v>P2</x:v>
      </x:c>
      <x:c r="C51" s="62" t="str">
        <x:v>Burgenland Tourismus</x:v>
      </x:c>
      <x:c r="D51" s="62" t="str">
        <x:v>Regional tourism organisation</x:v>
      </x:c>
      <x:c r="E51" s="62" t="str">
        <x:v>Burgenland</x:v>
      </x:c>
      <x:c r="F51" s="62" t="str">
        <x:v>Regional event and destination distribution</x:v>
      </x:c>
      <x:c r="G51" s="62" t="str">
        <x:v>Authorised data/distribution partnership</x:v>
      </x:c>
      <x:c r="H51" s="62" t="str">
        <x:v>B2B / digital</x:v>
      </x:c>
      <x:c r="I51" s="62" t="str">
        <x:v>info@burgenland.info</x:v>
      </x:c>
      <x:c r="J51" s="62" t="str">
        <x:v>https://www.burgenland.info/b2b/impressum</x:v>
      </x:c>
      <x:c r="K51" s="62" t="str">
        <x:v>https://www.burgenland.info/</x:v>
      </x:c>
      <x:c r="L51" s="62" t="str">
        <x:v>Public business contact only — no consent</x:v>
      </x:c>
      <x:c r="M51" s="62" t="str">
        <x:v>Tourism-industry introduction; request data contact</x:v>
      </x:c>
      <x:c r="N51" s="62" t="str">
        <x:v>Potential authorised regional partner after validation</x:v>
      </x:c>
      <x:c r="O51" s="62" t="str">
        <x:v>Research complete</x:v>
      </x:c>
      <x:c r="P51" s="68" t="str">
        <x:v>2026-08-30</x:v>
      </x:c>
      <x:c r="Q51" s="62" t="str">
        <x:v>https://www.burgenland.info/b2b/impressum</x:v>
      </x:c>
    </x:row>
    <x:row r="52" ht="62" customHeight="1">
      <x:c r="A52" s="67" t="n">
        <x:v>47</x:v>
      </x:c>
      <x:c r="B52" s="67" t="str">
        <x:v>P2</x:v>
      </x:c>
      <x:c r="C52" s="62" t="str">
        <x:v>1000things</x:v>
      </x:c>
      <x:c r="D52" s="62" t="str">
        <x:v>Lifestyle media / distribution</x:v>
      </x:c>
      <x:c r="E52" s="62" t="str">
        <x:v>Austria-wide</x:v>
      </x:c>
      <x:c r="F52" s="62" t="str">
        <x:v>Large leisure and city-content audience</x:v>
      </x:c>
      <x:c r="G52" s="62" t="str">
        <x:v>Editorial/distribution partnership</x:v>
      </x:c>
      <x:c r="H52" s="62" t="str">
        <x:v>Partnerships</x:v>
      </x:c>
      <x:c r="I52" s="62" t="str">
        <x:v>partnerships@1000thingsmagazine.com</x:v>
      </x:c>
      <x:c r="J52" s="62" t="str">
        <x:v>https://www.1000thingsmagazine.com/de/kontakt/</x:v>
      </x:c>
      <x:c r="K52" s="62" t="str">
        <x:v>https://www.1000thingsmagazine.com/</x:v>
      </x:c>
      <x:c r="L52" s="62" t="str">
        <x:v>Explicit partnership channel</x:v>
      </x:c>
      <x:c r="M52" s="62" t="str">
        <x:v>Use the partnership address with a co-distribution concept</x:v>
      </x:c>
      <x:c r="N52" s="62" t="str">
        <x:v>Could test referral-based weekend discovery without selling advertising reach</x:v>
      </x:c>
      <x:c r="O52" s="62" t="str">
        <x:v>Research complete</x:v>
      </x:c>
      <x:c r="P52" s="68" t="str">
        <x:v>2026-08-30</x:v>
      </x:c>
      <x:c r="Q52" s="62" t="str">
        <x:v>https://www.1000thingsmagazine.com/de/kontakt/</x:v>
      </x:c>
    </x:row>
    <x:row r="53" ht="62" customHeight="1">
      <x:c r="A53" s="67" t="n">
        <x:v>48</x:v>
      </x:c>
      <x:c r="B53" s="67" t="str">
        <x:v>P2</x:v>
      </x:c>
      <x:c r="C53" s="62" t="str">
        <x:v>Tips Oberösterreich</x:v>
      </x:c>
      <x:c r="D53" s="62" t="str">
        <x:v>Regional media</x:v>
      </x:c>
      <x:c r="E53" s="62" t="str">
        <x:v>Upper Austria</x:v>
      </x:c>
      <x:c r="F53" s="62" t="str">
        <x:v>Local event coverage and strong regional fit</x:v>
      </x:c>
      <x:c r="G53" s="62" t="str">
        <x:v>Editorial/data partnership</x:v>
      </x:c>
      <x:c r="H53" s="62" t="str">
        <x:v>Editorial Linz / digital</x:v>
      </x:c>
      <x:c r="I53" s="62" t="str">
        <x:v>redaktion-linz@tips.at</x:v>
      </x:c>
      <x:c r="J53" s="62" t="str">
        <x:v>https://www.tips.at/kontakt</x:v>
      </x:c>
      <x:c r="K53" s="62" t="str">
        <x:v>https://www.tips.at/</x:v>
      </x:c>
      <x:c r="L53" s="62" t="str">
        <x:v>Public editorial contact only — no marketing consent</x:v>
      </x:c>
      <x:c r="M53" s="62" t="str">
        <x:v>Warm regional-media introduction; ask for data/editorial owner</x:v>
      </x:c>
      <x:c r="N53" s="62" t="str">
        <x:v>Local distribution and source partnership aligns with the Linz validation period</x:v>
      </x:c>
      <x:c r="O53" s="62" t="str">
        <x:v>Research complete</x:v>
      </x:c>
      <x:c r="P53" s="68" t="str">
        <x:v>2026-08-30</x:v>
      </x:c>
      <x:c r="Q53" s="62" t="str">
        <x:v>https://www.tips.at/kontakt</x:v>
      </x:c>
    </x:row>
    <x:row r="54" ht="62" customHeight="1">
      <x:c r="A54" s="67" t="n">
        <x:v>49</x:v>
      </x:c>
      <x:c r="B54" s="67" t="str">
        <x:v>P2</x:v>
      </x:c>
      <x:c r="C54" s="62" t="str">
        <x:v>Familypark</x:v>
      </x:c>
      <x:c r="D54" s="62" t="str">
        <x:v>Family destination</x:v>
      </x:c>
      <x:c r="E54" s="62" t="str">
        <x:v>Burgenland</x:v>
      </x:c>
      <x:c r="F54" s="62" t="str">
        <x:v>Family attraction with seasonal programmes and group sales</x:v>
      </x:c>
      <x:c r="G54" s="62" t="str">
        <x:v>Managed seasonal-map pilot</x:v>
      </x:c>
      <x:c r="H54" s="62" t="str">
        <x:v>Sales / marketing</x:v>
      </x:c>
      <x:c r="I54" s="62" t="str">
        <x:v>sales@familypark.at</x:v>
      </x:c>
      <x:c r="J54" s="62" t="str">
        <x:v>https://b2b.familypark.at/promotion/</x:v>
      </x:c>
      <x:c r="K54" s="62" t="str">
        <x:v>https://www.familypark.at/</x:v>
      </x:c>
      <x:c r="L54" s="62" t="str">
        <x:v>Public sales contact; vendor proposal fit unverified</x:v>
      </x:c>
      <x:c r="M54" s="62" t="str">
        <x:v>Warm family-tourism introduction or B2B event</x:v>
      </x:c>
      <x:c r="N54" s="62" t="str">
        <x:v>Family audience and seasonal event programme match Okolo's primary user</x:v>
      </x:c>
      <x:c r="O54" s="62" t="str">
        <x:v>Research complete</x:v>
      </x:c>
      <x:c r="P54" s="68" t="str">
        <x:v>2026-08-30</x:v>
      </x:c>
      <x:c r="Q54" s="62" t="str">
        <x:v>https://b2b.familypark.at/promotion/</x:v>
      </x:c>
    </x:row>
    <x:row r="55" ht="62" customHeight="1">
      <x:c r="A55" s="67" t="n">
        <x:v>50</x:v>
      </x:c>
      <x:c r="B55" s="67" t="str">
        <x:v>P2</x:v>
      </x:c>
      <x:c r="C55" s="62" t="str">
        <x:v>Schloss Hof</x:v>
      </x:c>
      <x:c r="D55" s="62" t="str">
        <x:v>Cultural destination</x:v>
      </x:c>
      <x:c r="E55" s="62" t="str">
        <x:v>Lower Austria</x:v>
      </x:c>
      <x:c r="F55" s="62" t="str">
        <x:v>Large site with family events and seasonal programme</x:v>
      </x:c>
      <x:c r="G55" s="62" t="str">
        <x:v>Managed seasonal-map pilot</x:v>
      </x:c>
      <x:c r="H55" s="62" t="str">
        <x:v>Marketing &amp; sales</x:v>
      </x:c>
      <x:c r="I55" s="62" t="str">
        <x:v>office@schlosshof.at</x:v>
      </x:c>
      <x:c r="J55" s="62" t="str">
        <x:v>https://www.schlosshof.at/en/marketing-sales</x:v>
      </x:c>
      <x:c r="K55" s="62" t="str">
        <x:v>https://www.schlosshof.at/</x:v>
      </x:c>
      <x:c r="L55" s="62" t="str">
        <x:v>Public business contact only — no consent</x:v>
      </x:c>
      <x:c r="M55" s="62" t="str">
        <x:v>Warm family-tourism or NÖKU-adjacent introduction</x:v>
      </x:c>
      <x:c r="N55" s="62" t="str">
        <x:v>Programme, grounds and family focus suit a destination map</x:v>
      </x:c>
      <x:c r="O55" s="62" t="str">
        <x:v>Research complete</x:v>
      </x:c>
      <x:c r="P55" s="68" t="str">
        <x:v>2026-08-30</x:v>
      </x:c>
      <x:c r="Q55" s="62" t="str">
        <x:v>https://www.schlosshof.at/en/marketing-sales</x:v>
      </x:c>
    </x:row>
    <x:row r="56" ht="62" customHeight="1">
      <x:c r="A56" s="67" t="n">
        <x:v>51</x:v>
      </x:c>
      <x:c r="B56" s="67" t="str">
        <x:v>P2</x:v>
      </x:c>
      <x:c r="C56" s="62" t="str">
        <x:v>ROLLING PIN Convention</x:v>
      </x:c>
      <x:c r="D56" s="62" t="str">
        <x:v>Convention / trade event</x:v>
      </x:c>
      <x:c r="E56" s="62" t="str">
        <x:v>Styria</x:v>
      </x:c>
      <x:c r="F56" s="62" t="str">
        <x:v>Multi-stage hospitality convention with exhibitors and programme</x:v>
      </x:c>
      <x:c r="G56" s="62" t="str">
        <x:v>Managed convention-map pilot</x:v>
      </x:c>
      <x:c r="H56" s="62" t="str">
        <x:v>Partnerships</x:v>
      </x:c>
      <x:c r="I56" s="62" t="str">
        <x:v>ichwill@rollingpin.com</x:v>
      </x:c>
      <x:c r="J56" s="62" t="str">
        <x:v>https://www.rollingpinconvention.at/kontakt/</x:v>
      </x:c>
      <x:c r="K56" s="62" t="str">
        <x:v>https://www.rollingpinconvention.at/</x:v>
      </x:c>
      <x:c r="L56" s="62" t="str">
        <x:v>Explicit partnership channel</x:v>
      </x:c>
      <x:c r="M56" s="62" t="str">
        <x:v>Use the partnership address with a delegate-navigation concept</x:v>
      </x:c>
      <x:c r="N56" s="62" t="str">
        <x:v>Programme, stages and exhibitors are a direct convention-map use case</x:v>
      </x:c>
      <x:c r="O56" s="62" t="str">
        <x:v>Research complete</x:v>
      </x:c>
      <x:c r="P56" s="68" t="str">
        <x:v>2026-08-30</x:v>
      </x:c>
      <x:c r="Q56" s="62" t="str">
        <x:v>https://www.rollingpinconvention.at/kontakt/</x:v>
      </x:c>
    </x:row>
    <x:row r="57" ht="62" customHeight="1">
      <x:c r="A57" s="67" t="n">
        <x:v>52</x:v>
      </x:c>
      <x:c r="B57" s="67" t="str">
        <x:v>P3</x:v>
      </x:c>
      <x:c r="C57" s="62" t="str">
        <x:v>Oberösterreichische Gemeindebund network via GEM2GO</x:v>
      </x:c>
      <x:c r="D57" s="62" t="str">
        <x:v>Municipal network</x:v>
      </x:c>
      <x:c r="E57" s="62" t="str">
        <x:v>Upper Austria</x:v>
      </x:c>
      <x:c r="F57" s="62" t="str">
        <x:v>Potential route to municipal event calendars</x:v>
      </x:c>
      <x:c r="G57" s="62" t="str">
        <x:v>Referral / ecosystem partnership</x:v>
      </x:c>
      <x:c r="H57" s="62" t="str">
        <x:v>Digital municipal services</x:v>
      </x:c>
      <x:c r="I57" s="62" t="str">
        <x:v>office@ris.at</x:v>
      </x:c>
      <x:c r="J57" s="62" t="str">
        <x:v>https://www.gem2go.info/werde_partner</x:v>
      </x:c>
      <x:c r="K57" s="62" t="str">
        <x:v>https://www.gem2go.info/</x:v>
      </x:c>
      <x:c r="L57" s="62" t="str">
        <x:v>Explicit partnership route belongs to GEM2GO, not municipalities generally</x:v>
      </x:c>
      <x:c r="M57" s="62" t="str">
        <x:v>Approach only through the verified GEM2GO partner route</x:v>
      </x:c>
      <x:c r="N57" s="62" t="str">
        <x:v>Could identify one municipality for an authorised local-calendar pilot</x:v>
      </x:c>
      <x:c r="O57" s="62" t="str">
        <x:v>Research complete</x:v>
      </x:c>
      <x:c r="P57" s="68" t="str">
        <x:v>2026-08-30</x:v>
      </x:c>
      <x:c r="Q57" s="62" t="str">
        <x:v>https://www.gem2go.info/werde_partner</x:v>
      </x:c>
    </x:row>
    <x:row r="58" ht="62" customHeight="1">
      <x:c r="A58" s="67" t="n">
        <x:v>53</x:v>
      </x:c>
      <x:c r="B58" s="67" t="str">
        <x:v>P3</x:v>
      </x:c>
      <x:c r="C58" s="62" t="str">
        <x:v>Messezentrum Salzburg</x:v>
      </x:c>
      <x:c r="D58" s="62" t="str">
        <x:v>Fair / event venue</x:v>
      </x:c>
      <x:c r="E58" s="62" t="str">
        <x:v>Salzburg</x:v>
      </x:c>
      <x:c r="F58" s="62" t="str">
        <x:v>Trade fairs and public events across halls</x:v>
      </x:c>
      <x:c r="G58" s="62" t="str">
        <x:v>Managed event-map pilot</x:v>
      </x:c>
      <x:c r="H58" s="62" t="str">
        <x:v>Sales / marketing</x:v>
      </x:c>
      <x:c r="I58" s="62" t="str">
        <x:v>office@mzs.at</x:v>
      </x:c>
      <x:c r="J58" s="62" t="str">
        <x:v>https://www.messezentrum-salzburg.at/</x:v>
      </x:c>
      <x:c r="K58" s="62" t="str">
        <x:v>https://www.messezentrum-salzburg.at/</x:v>
      </x:c>
      <x:c r="L58" s="62" t="str">
        <x:v>Public business contact only — no consent</x:v>
      </x:c>
      <x:c r="M58" s="62" t="str">
        <x:v>Meet through convention-industry network</x:v>
      </x:c>
      <x:c r="N58" s="62" t="str">
        <x:v>Multi-hall programmes are a relevant but later event-map segment</x:v>
      </x:c>
      <x:c r="O58" s="62" t="str">
        <x:v>Research complete</x:v>
      </x:c>
      <x:c r="P58" s="68" t="str">
        <x:v>2026-08-30</x:v>
      </x:c>
      <x:c r="Q58" s="62" t="str">
        <x:v>https://www.messezentrum-salzburg.at/</x:v>
      </x:c>
    </x:row>
    <x:row r="59" ht="62" customHeight="1">
      <x:c r="A59" s="67" t="n">
        <x:v>54</x:v>
      </x:c>
      <x:c r="B59" s="67" t="str">
        <x:v>P3</x:v>
      </x:c>
      <x:c r="C59" s="62" t="str">
        <x:v>Messe Dornbirn</x:v>
      </x:c>
      <x:c r="D59" s="62" t="str">
        <x:v>Fair / event venue</x:v>
      </x:c>
      <x:c r="E59" s="62" t="str">
        <x:v>Vorarlberg</x:v>
      </x:c>
      <x:c r="F59" s="62" t="str">
        <x:v>Trade fairs and public events across a large campus</x:v>
      </x:c>
      <x:c r="G59" s="62" t="str">
        <x:v>Managed event-map pilot</x:v>
      </x:c>
      <x:c r="H59" s="62" t="str">
        <x:v>Sales / marketing</x:v>
      </x:c>
      <x:c r="I59" s="62" t="str">
        <x:v>office@messedornbirn.at</x:v>
      </x:c>
      <x:c r="J59" s="62" t="str">
        <x:v>https://www.messedornbirn.at/</x:v>
      </x:c>
      <x:c r="K59" s="62" t="str">
        <x:v>https://www.messedornbirn.at/</x:v>
      </x:c>
      <x:c r="L59" s="62" t="str">
        <x:v>Public business contact only — no consent</x:v>
      </x:c>
      <x:c r="M59" s="62" t="str">
        <x:v>Meet through convention-industry network</x:v>
      </x:c>
      <x:c r="N59" s="62" t="str">
        <x:v>A campus map could complement hall plans for multi-programme events</x:v>
      </x:c>
      <x:c r="O59" s="62" t="str">
        <x:v>Research complete</x:v>
      </x:c>
      <x:c r="P59" s="68" t="str">
        <x:v>2026-08-30</x:v>
      </x:c>
      <x:c r="Q59" s="62" t="str">
        <x:v>https://www.messedornbirn.at/</x:v>
      </x:c>
    </x:row>
  </x:sheetData>
  <x:mergeCells>
    <x:mergeCell ref="A1:Q1"/>
    <x:mergeCell ref="A2:N2"/>
    <x:mergeCell ref="A4:Q4"/>
  </x:mergeCells>
  <x:conditionalFormatting sqref="B6:B59">
    <x:cfRule type="containsText" dxfId="0" priority="1" operator="containsText" text="P1"/>
    <x:cfRule type="containsText" dxfId="1" priority="2" operator="containsText" text="P2"/>
    <x:cfRule type="containsText" dxfId="2" priority="3" operator="containsText" text="P3"/>
  </x:conditionalFormatting>
  <x:conditionalFormatting sqref="L6:L59">
    <x:cfRule type="containsText" dxfId="3" priority="4" operator="containsText" text="Explicit partnership channel"/>
  </x:conditionalFormatting>
  <x:conditionalFormatting sqref="O6:O59">
    <x:cfRule type="containsText" dxfId="4" priority="5" operator="containsText" text="Needs contact re-verification"/>
  </x:conditionalFormatting>
  <x:dataValidations count="2">
    <x:dataValidation type="list" sqref="B6:B59">
      <x:formula1>"P1,P2,P3"</x:formula1>
    </x:dataValidation>
    <x:dataValidation type="list" sqref="O6:O59">
      <x:formula1>"Research complete,Needs contact re-verification,Permission documented,Contacted,Interested,Not now,Do not contact"</x:formula1>
    </x:dataValidation>
  </x:dataValidations>
  <x:pageMargins left="0.7" right="0.7" top="0.75" bottom="0.75" header="0.3" footer="0.3"/>
  <x:tableParts count="1">
    <x:tablePart xmlns:r="http://schemas.openxmlformats.org/officeDocument/2006/relationships" r:id="R803f25bba97d46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34" customHeight="1">
      <x:c r="A1" s="65" t="str">
        <x:v>Visual Assets</x:v>
      </x:c>
      <x:c r="B1" s="65" t="str">
        <x:v>Visual Assets</x:v>
      </x:c>
      <x:c r="C1" s="65" t="str">
        <x:v>Visual Assets</x:v>
      </x:c>
      <x:c r="D1" s="65" t="str">
        <x:v>Visual Assets</x:v>
      </x:c>
      <x:c r="E1" s="65" t="str">
        <x:v>Visual Assets</x:v>
      </x:c>
      <x:c r="F1" s="65" t="str">
        <x:v>Visual Assets</x:v>
      </x:c>
      <x:c r="G1" s="65" t="str">
        <x:v>Visual Assets</x:v>
      </x:c>
      <x:c r="H1" s="65" t="str">
        <x:v>Visual Assets</x:v>
      </x:c>
      <x:c r="I1" s="65" t="str">
        <x:v>Visual Assets</x:v>
      </x:c>
      <x:c r="J1" s="65" t="str">
        <x:v>Visual Assets</x:v>
      </x:c>
      <x:c r="K1" s="65" t="str">
        <x:v>Visual Assets</x:v>
      </x:c>
      <x:c r="L1" s="65" t="str">
        <x:v>Visual Assets</x:v>
      </x:c>
      <x:c r="M1" s="65" t="str">
        <x:v>Visual Assets</x:v>
      </x:c>
      <x:c r="N1" s="65" t="str">
        <x:v>Visual Assets</x:v>
      </x:c>
    </x:row>
    <x:row r="2" ht="30" customHeight="1">
      <x:c r="A2" s="59" t="str">
        <x:v>Attach screenshots 1–3 to the final permission-based email. The demo is fictional and must be labelled as a product example, not a customer reference.</x:v>
      </x:c>
      <x:c r="B2" s="59" t="str">
        <x:v>Attach screenshots 1–3 to the final permission-based email. The demo is fictional and must be labelled as a product example, not a customer reference.</x:v>
      </x:c>
      <x:c r="C2" s="59" t="str">
        <x:v>Attach screenshots 1–3 to the final permission-based email. The demo is fictional and must be labelled as a product example, not a customer reference.</x:v>
      </x:c>
      <x:c r="D2" s="59" t="str">
        <x:v>Attach screenshots 1–3 to the final permission-based email. The demo is fictional and must be labelled as a product example, not a customer reference.</x:v>
      </x:c>
      <x:c r="E2" s="59" t="str">
        <x:v>Attach screenshots 1–3 to the final permission-based email. The demo is fictional and must be labelled as a product example, not a customer reference.</x:v>
      </x:c>
      <x:c r="F2" s="59" t="str">
        <x:v>Attach screenshots 1–3 to the final permission-based email. The demo is fictional and must be labelled as a product example, not a customer reference.</x:v>
      </x:c>
      <x:c r="G2" s="59" t="str">
        <x:v>Attach screenshots 1–3 to the final permission-based email. The demo is fictional and must be labelled as a product example, not a customer reference.</x:v>
      </x:c>
      <x:c r="H2" s="59" t="str">
        <x:v>Attach screenshots 1–3 to the final permission-based email. The demo is fictional and must be labelled as a product example, not a customer reference.</x:v>
      </x:c>
      <x:c r="I2" s="59" t="str">
        <x:v>Attach screenshots 1–3 to the final permission-based email. The demo is fictional and must be labelled as a product example, not a customer reference.</x:v>
      </x:c>
      <x:c r="J2" s="59" t="str">
        <x:v>Attach screenshots 1–3 to the final permission-based email. The demo is fictional and must be labelled as a product example, not a customer reference.</x:v>
      </x:c>
      <x:c r="K2" s="59" t="str">
        <x:v>Attach screenshots 1–3 to the final permission-based email. The demo is fictional and must be labelled as a product example, not a customer reference.</x:v>
      </x:c>
      <x:c r="L2" s="59" t="str">
        <x:v>Attach screenshots 1–3 to the final permission-based email. The demo is fictional and must be labelled as a product example, not a customer reference.</x:v>
      </x:c>
      <x:c r="M2" s="59" t="str">
        <x:v>Attach screenshots 1–3 to the final permission-based email. The demo is fictional and must be labelled as a product example, not a customer reference.</x:v>
      </x:c>
      <x:c r="N2" s="59" t="str">
        <x:v>Attach screenshots 1–3 to the final permission-based email. The demo is fictional and must be labelled as a product example, not a customer reference.</x:v>
      </x:c>
    </x:row>
    <x:row r="3" ht="24" customHeight="1">
      <x:c r="A3" s="80" t="str">
        <x:v>1 — Partner offer (lead image)</x:v>
      </x:c>
      <x:c r="B3" s="80" t="str">
        <x:v>1 — Partner offer (lead image)</x:v>
      </x:c>
      <x:c r="C3" s="80" t="str">
        <x:v>1 — Partner offer (lead image)</x:v>
      </x:c>
      <x:c r="D3" s="80" t="str">
        <x:v>1 — Partner offer (lead image)</x:v>
      </x:c>
      <x:c r="E3" s="80" t="str">
        <x:v>1 — Partner offer (lead image)</x:v>
      </x:c>
      <x:c r="F3" s="80" t="str">
        <x:v>1 — Partner offer (lead image)</x:v>
      </x:c>
      <x:c r="G3" s="60"/>
      <x:c r="H3" s="80" t="str">
        <x:v>2 — Interactive festival demo (fictional)</x:v>
      </x:c>
      <x:c r="I3" s="80" t="str">
        <x:v>2 — Interactive festival demo (fictional)</x:v>
      </x:c>
      <x:c r="J3" s="80" t="str">
        <x:v>2 — Interactive festival demo (fictional)</x:v>
      </x:c>
      <x:c r="K3" s="80" t="str">
        <x:v>2 — Interactive festival demo (fictional)</x:v>
      </x:c>
      <x:c r="L3" s="80" t="str">
        <x:v>2 — Interactive festival demo (fictional)</x:v>
      </x:c>
      <x:c r="M3" s="80" t="str">
        <x:v>2 — Interactive festival demo (fictional)</x:v>
      </x:c>
      <x:c r="N3" s="60"/>
    </x:row>
    <x:row r="4">
      <x:c r="A4" s="60"/>
      <x:c r="B4" s="60"/>
      <x:c r="C4" s="60"/>
      <x:c r="D4" s="60"/>
      <x:c r="E4" s="60"/>
      <x:c r="F4" s="60"/>
      <x:c r="G4" s="60"/>
      <x:c r="H4" s="60"/>
      <x:c r="I4" s="60"/>
      <x:c r="J4" s="60"/>
      <x:c r="K4" s="60"/>
      <x:c r="L4" s="60"/>
      <x:c r="M4" s="60"/>
      <x:c r="N4" s="60"/>
    </x:row>
    <x:row r="5">
      <x:c r="A5" s="60"/>
      <x:c r="B5" s="60"/>
      <x:c r="C5" s="60"/>
      <x:c r="D5" s="60"/>
      <x:c r="E5" s="60"/>
      <x:c r="F5" s="60"/>
      <x:c r="G5" s="60"/>
      <x:c r="H5" s="60"/>
      <x:c r="I5" s="60"/>
      <x:c r="J5" s="60"/>
      <x:c r="K5" s="60"/>
      <x:c r="L5" s="60"/>
      <x:c r="M5" s="60"/>
      <x:c r="N5" s="60"/>
    </x:row>
    <x:row r="6">
      <x:c r="A6" s="60"/>
      <x:c r="B6" s="60"/>
      <x:c r="C6" s="60"/>
      <x:c r="D6" s="60"/>
      <x:c r="E6" s="60"/>
      <x:c r="F6" s="60"/>
      <x:c r="G6" s="60"/>
      <x:c r="H6" s="60"/>
      <x:c r="I6" s="60"/>
      <x:c r="J6" s="60"/>
      <x:c r="K6" s="60"/>
      <x:c r="L6" s="60"/>
      <x:c r="M6" s="60"/>
      <x:c r="N6" s="60"/>
    </x:row>
    <x:row r="7">
      <x:c r="A7" s="60"/>
      <x:c r="B7" s="60"/>
      <x:c r="C7" s="60"/>
      <x:c r="D7" s="60"/>
      <x:c r="E7" s="60"/>
      <x:c r="F7" s="60"/>
      <x:c r="G7" s="60"/>
      <x:c r="H7" s="60"/>
      <x:c r="I7" s="60"/>
      <x:c r="J7" s="60"/>
      <x:c r="K7" s="60"/>
      <x:c r="L7" s="60"/>
      <x:c r="M7" s="60"/>
      <x:c r="N7" s="60"/>
    </x:row>
    <x:row r="8">
      <x:c r="A8" s="60"/>
      <x:c r="B8" s="60"/>
      <x:c r="C8" s="60"/>
      <x:c r="D8" s="60"/>
      <x:c r="E8" s="60"/>
      <x:c r="F8" s="60"/>
      <x:c r="G8" s="60"/>
      <x:c r="H8" s="60"/>
      <x:c r="I8" s="60"/>
      <x:c r="J8" s="60"/>
      <x:c r="K8" s="60"/>
      <x:c r="L8" s="60"/>
      <x:c r="M8" s="60"/>
      <x:c r="N8" s="60"/>
    </x:row>
    <x:row r="9">
      <x:c r="A9" s="60"/>
      <x:c r="B9" s="60"/>
      <x:c r="C9" s="60"/>
      <x:c r="D9" s="60"/>
      <x:c r="E9" s="60"/>
      <x:c r="F9" s="60"/>
      <x:c r="G9" s="60"/>
      <x:c r="H9" s="60"/>
      <x:c r="I9" s="60"/>
      <x:c r="J9" s="60"/>
      <x:c r="K9" s="60"/>
      <x:c r="L9" s="60"/>
      <x:c r="M9" s="60"/>
      <x:c r="N9" s="60"/>
    </x:row>
    <x:row r="10">
      <x:c r="A10" s="60"/>
      <x:c r="B10" s="60"/>
      <x:c r="C10" s="60"/>
      <x:c r="D10" s="60"/>
      <x:c r="E10" s="60"/>
      <x:c r="F10" s="60"/>
      <x:c r="G10" s="60"/>
      <x:c r="H10" s="60"/>
      <x:c r="I10" s="60"/>
      <x:c r="J10" s="60"/>
      <x:c r="K10" s="60"/>
      <x:c r="L10" s="60"/>
      <x:c r="M10" s="60"/>
      <x:c r="N10" s="60"/>
    </x:row>
    <x:row r="11">
      <x:c r="A11" s="60"/>
      <x:c r="B11" s="60"/>
      <x:c r="C11" s="60"/>
      <x:c r="D11" s="60"/>
      <x:c r="E11" s="60"/>
      <x:c r="F11" s="60"/>
      <x:c r="G11" s="60"/>
      <x:c r="H11" s="60"/>
      <x:c r="I11" s="60"/>
      <x:c r="J11" s="60"/>
      <x:c r="K11" s="60"/>
      <x:c r="L11" s="60"/>
      <x:c r="M11" s="60"/>
      <x:c r="N11" s="60"/>
    </x:row>
    <x:row r="12">
      <x:c r="A12" s="60"/>
      <x:c r="B12" s="60"/>
      <x:c r="C12" s="60"/>
      <x:c r="D12" s="60"/>
      <x:c r="E12" s="60"/>
      <x:c r="F12" s="60"/>
      <x:c r="G12" s="60"/>
      <x:c r="H12" s="60"/>
      <x:c r="I12" s="60"/>
      <x:c r="J12" s="60"/>
      <x:c r="K12" s="60"/>
      <x:c r="L12" s="60"/>
      <x:c r="M12" s="60"/>
      <x:c r="N12" s="60"/>
    </x:row>
    <x:row r="13">
      <x:c r="A13" s="60"/>
      <x:c r="B13" s="60"/>
      <x:c r="C13" s="60"/>
      <x:c r="D13" s="60"/>
      <x:c r="E13" s="60"/>
      <x:c r="F13" s="60"/>
      <x:c r="G13" s="60"/>
      <x:c r="H13" s="60"/>
      <x:c r="I13" s="60"/>
      <x:c r="J13" s="60"/>
      <x:c r="K13" s="60"/>
      <x:c r="L13" s="60"/>
      <x:c r="M13" s="60"/>
      <x:c r="N13" s="60"/>
    </x:row>
    <x:row r="14">
      <x:c r="A14" s="60"/>
      <x:c r="B14" s="60"/>
      <x:c r="C14" s="60"/>
      <x:c r="D14" s="60"/>
      <x:c r="E14" s="60"/>
      <x:c r="F14" s="60"/>
      <x:c r="G14" s="60"/>
      <x:c r="H14" s="60"/>
      <x:c r="I14" s="60"/>
      <x:c r="J14" s="60"/>
      <x:c r="K14" s="60"/>
      <x:c r="L14" s="60"/>
      <x:c r="M14" s="60"/>
      <x:c r="N14" s="60"/>
    </x:row>
    <x:row r="15">
      <x:c r="A15" s="60"/>
      <x:c r="B15" s="60"/>
      <x:c r="C15" s="60"/>
      <x:c r="D15" s="60"/>
      <x:c r="E15" s="60"/>
      <x:c r="F15" s="60"/>
      <x:c r="G15" s="60"/>
      <x:c r="H15" s="60"/>
      <x:c r="I15" s="60"/>
      <x:c r="J15" s="60"/>
      <x:c r="K15" s="60"/>
      <x:c r="L15" s="60"/>
      <x:c r="M15" s="60"/>
      <x:c r="N15" s="60"/>
    </x:row>
    <x:row r="16">
      <x:c r="A16" s="60"/>
      <x:c r="B16" s="60"/>
      <x:c r="C16" s="60"/>
      <x:c r="D16" s="60"/>
      <x:c r="E16" s="60"/>
      <x:c r="F16" s="60"/>
      <x:c r="G16" s="60"/>
      <x:c r="H16" s="60"/>
      <x:c r="I16" s="60"/>
      <x:c r="J16" s="60"/>
      <x:c r="K16" s="60"/>
      <x:c r="L16" s="60"/>
      <x:c r="M16" s="60"/>
      <x:c r="N16" s="60"/>
    </x:row>
    <x:row r="17">
      <x:c r="A17" s="60"/>
      <x:c r="B17" s="60"/>
      <x:c r="C17" s="60"/>
      <x:c r="D17" s="60"/>
      <x:c r="E17" s="60"/>
      <x:c r="F17" s="60"/>
      <x:c r="G17" s="60"/>
      <x:c r="H17" s="60"/>
      <x:c r="I17" s="60"/>
      <x:c r="J17" s="60"/>
      <x:c r="K17" s="60"/>
      <x:c r="L17" s="60"/>
      <x:c r="M17" s="60"/>
      <x:c r="N17" s="60"/>
    </x:row>
    <x:row r="18">
      <x:c r="A18" s="62" t="str">
        <x:v>https://www.okolo.events/partners — managed hosted-map offer</x:v>
      </x:c>
      <x:c r="B18" s="62" t="str">
        <x:v>https://www.okolo.events/partners — managed hosted-map offer</x:v>
      </x:c>
      <x:c r="C18" s="62" t="str">
        <x:v>https://www.okolo.events/partners — managed hosted-map offer</x:v>
      </x:c>
      <x:c r="D18" s="62" t="str">
        <x:v>https://www.okolo.events/partners — managed hosted-map offer</x:v>
      </x:c>
      <x:c r="E18" s="62" t="str">
        <x:v>https://www.okolo.events/partners — managed hosted-map offer</x:v>
      </x:c>
      <x:c r="F18" s="62" t="str">
        <x:v>https://www.okolo.events/partners — managed hosted-map offer</x:v>
      </x:c>
      <x:c r="G18" s="60"/>
      <x:c r="H18" s="62" t="str">
        <x:v>https://www.okolo.events/partners/demo — explicitly fictional product demo</x:v>
      </x:c>
      <x:c r="I18" s="62" t="str">
        <x:v>https://www.okolo.events/partners/demo — explicitly fictional product demo</x:v>
      </x:c>
      <x:c r="J18" s="62" t="str">
        <x:v>https://www.okolo.events/partners/demo — explicitly fictional product demo</x:v>
      </x:c>
      <x:c r="K18" s="62" t="str">
        <x:v>https://www.okolo.events/partners/demo — explicitly fictional product demo</x:v>
      </x:c>
      <x:c r="L18" s="62" t="str">
        <x:v>https://www.okolo.events/partners/demo — explicitly fictional product demo</x:v>
      </x:c>
      <x:c r="M18" s="62" t="str">
        <x:v>https://www.okolo.events/partners/demo — explicitly fictional product demo</x:v>
      </x:c>
      <x:c r="N18" s="60"/>
    </x:row>
    <x:row r="19">
      <x:c r="A19" s="62" t="str">
        <x:v>https://www.okolo.events/partners — managed hosted-map offer</x:v>
      </x:c>
      <x:c r="B19" s="62" t="str">
        <x:v>https://www.okolo.events/partners — managed hosted-map offer</x:v>
      </x:c>
      <x:c r="C19" s="62" t="str">
        <x:v>https://www.okolo.events/partners — managed hosted-map offer</x:v>
      </x:c>
      <x:c r="D19" s="62" t="str">
        <x:v>https://www.okolo.events/partners — managed hosted-map offer</x:v>
      </x:c>
      <x:c r="E19" s="62" t="str">
        <x:v>https://www.okolo.events/partners — managed hosted-map offer</x:v>
      </x:c>
      <x:c r="F19" s="62" t="str">
        <x:v>https://www.okolo.events/partners — managed hosted-map offer</x:v>
      </x:c>
      <x:c r="G19" s="60"/>
      <x:c r="H19" s="62" t="str">
        <x:v>https://www.okolo.events/partners/demo — explicitly fictional product demo</x:v>
      </x:c>
      <x:c r="I19" s="62" t="str">
        <x:v>https://www.okolo.events/partners/demo — explicitly fictional product demo</x:v>
      </x:c>
      <x:c r="J19" s="62" t="str">
        <x:v>https://www.okolo.events/partners/demo — explicitly fictional product demo</x:v>
      </x:c>
      <x:c r="K19" s="62" t="str">
        <x:v>https://www.okolo.events/partners/demo — explicitly fictional product demo</x:v>
      </x:c>
      <x:c r="L19" s="62" t="str">
        <x:v>https://www.okolo.events/partners/demo — explicitly fictional product demo</x:v>
      </x:c>
      <x:c r="M19" s="62" t="str">
        <x:v>https://www.okolo.events/partners/demo — explicitly fictional product demo</x:v>
      </x:c>
      <x:c r="N19" s="60"/>
    </x:row>
    <x:row r="20">
      <x:c r="A20" s="60"/>
      <x:c r="B20" s="60"/>
      <x:c r="C20" s="60"/>
      <x:c r="D20" s="60"/>
      <x:c r="E20" s="60"/>
      <x:c r="F20" s="60"/>
      <x:c r="G20" s="60"/>
      <x:c r="H20" s="60"/>
      <x:c r="I20" s="60"/>
      <x:c r="J20" s="60"/>
      <x:c r="K20" s="60"/>
      <x:c r="L20" s="60"/>
      <x:c r="M20" s="60"/>
      <x:c r="N20" s="60"/>
    </x:row>
    <x:row r="21" ht="24" customHeight="1">
      <x:c r="A21" s="80" t="str">
        <x:v>3 — Live Okolo map</x:v>
      </x:c>
      <x:c r="B21" s="80" t="str">
        <x:v>3 — Live Okolo map</x:v>
      </x:c>
      <x:c r="C21" s="80" t="str">
        <x:v>3 — Live Okolo map</x:v>
      </x:c>
      <x:c r="D21" s="80" t="str">
        <x:v>3 — Live Okolo map</x:v>
      </x:c>
      <x:c r="E21" s="80" t="str">
        <x:v>3 — Live Okolo map</x:v>
      </x:c>
      <x:c r="F21" s="80" t="str">
        <x:v>3 — Live Okolo map</x:v>
      </x:c>
      <x:c r="G21" s="60"/>
      <x:c r="H21" s="80" t="str">
        <x:v>4 — Account sign-in (appendix only)</x:v>
      </x:c>
      <x:c r="I21" s="80" t="str">
        <x:v>4 — Account sign-in (appendix only)</x:v>
      </x:c>
      <x:c r="J21" s="80" t="str">
        <x:v>4 — Account sign-in (appendix only)</x:v>
      </x:c>
      <x:c r="K21" s="80" t="str">
        <x:v>4 — Account sign-in (appendix only)</x:v>
      </x:c>
      <x:c r="L21" s="80" t="str">
        <x:v>4 — Account sign-in (appendix only)</x:v>
      </x:c>
      <x:c r="M21" s="80" t="str">
        <x:v>4 — Account sign-in (appendix only)</x:v>
      </x:c>
      <x:c r="N21" s="60"/>
    </x:row>
    <x:row r="22">
      <x:c r="A22" s="60"/>
      <x:c r="B22" s="60"/>
      <x:c r="C22" s="60"/>
      <x:c r="D22" s="60"/>
      <x:c r="E22" s="60"/>
      <x:c r="F22" s="60"/>
      <x:c r="G22" s="60"/>
      <x:c r="H22" s="60"/>
      <x:c r="I22" s="60"/>
      <x:c r="J22" s="60"/>
      <x:c r="K22" s="60"/>
      <x:c r="L22" s="60"/>
      <x:c r="M22" s="60"/>
      <x:c r="N22" s="60"/>
    </x:row>
    <x:row r="23">
      <x:c r="A23" s="60"/>
      <x:c r="B23" s="60"/>
      <x:c r="C23" s="60"/>
      <x:c r="D23" s="60"/>
      <x:c r="E23" s="60"/>
      <x:c r="F23" s="60"/>
      <x:c r="G23" s="60"/>
      <x:c r="H23" s="60"/>
      <x:c r="I23" s="60"/>
      <x:c r="J23" s="60"/>
      <x:c r="K23" s="60"/>
      <x:c r="L23" s="60"/>
      <x:c r="M23" s="60"/>
      <x:c r="N23" s="60"/>
    </x:row>
    <x:row r="24">
      <x:c r="A24" s="60"/>
      <x:c r="B24" s="60"/>
      <x:c r="C24" s="60"/>
      <x:c r="D24" s="60"/>
      <x:c r="E24" s="60"/>
      <x:c r="F24" s="60"/>
      <x:c r="G24" s="60"/>
      <x:c r="H24" s="60"/>
      <x:c r="I24" s="60"/>
      <x:c r="J24" s="60"/>
      <x:c r="K24" s="60"/>
      <x:c r="L24" s="60"/>
      <x:c r="M24" s="60"/>
      <x:c r="N24" s="60"/>
    </x:row>
    <x:row r="25">
      <x:c r="A25" s="60"/>
      <x:c r="B25" s="60"/>
      <x:c r="C25" s="60"/>
      <x:c r="D25" s="60"/>
      <x:c r="E25" s="60"/>
      <x:c r="F25" s="60"/>
      <x:c r="G25" s="60"/>
      <x:c r="H25" s="60"/>
      <x:c r="I25" s="60"/>
      <x:c r="J25" s="60"/>
      <x:c r="K25" s="60"/>
      <x:c r="L25" s="60"/>
      <x:c r="M25" s="60"/>
      <x:c r="N25" s="60"/>
    </x:row>
    <x:row r="26">
      <x:c r="A26" s="60"/>
      <x:c r="B26" s="60"/>
      <x:c r="C26" s="60"/>
      <x:c r="D26" s="60"/>
      <x:c r="E26" s="60"/>
      <x:c r="F26" s="60"/>
      <x:c r="G26" s="60"/>
      <x:c r="H26" s="60"/>
      <x:c r="I26" s="60"/>
      <x:c r="J26" s="60"/>
      <x:c r="K26" s="60"/>
      <x:c r="L26" s="60"/>
      <x:c r="M26" s="60"/>
      <x:c r="N26" s="60"/>
    </x:row>
    <x:row r="27">
      <x:c r="A27" s="60"/>
      <x:c r="B27" s="60"/>
      <x:c r="C27" s="60"/>
      <x:c r="D27" s="60"/>
      <x:c r="E27" s="60"/>
      <x:c r="F27" s="60"/>
      <x:c r="G27" s="60"/>
      <x:c r="H27" s="60"/>
      <x:c r="I27" s="60"/>
      <x:c r="J27" s="60"/>
      <x:c r="K27" s="60"/>
      <x:c r="L27" s="60"/>
      <x:c r="M27" s="60"/>
      <x:c r="N27" s="60"/>
    </x:row>
    <x:row r="28">
      <x:c r="A28" s="60"/>
      <x:c r="B28" s="60"/>
      <x:c r="C28" s="60"/>
      <x:c r="D28" s="60"/>
      <x:c r="E28" s="60"/>
      <x:c r="F28" s="60"/>
      <x:c r="G28" s="60"/>
      <x:c r="H28" s="60"/>
      <x:c r="I28" s="60"/>
      <x:c r="J28" s="60"/>
      <x:c r="K28" s="60"/>
      <x:c r="L28" s="60"/>
      <x:c r="M28" s="60"/>
      <x:c r="N28" s="60"/>
    </x:row>
    <x:row r="29">
      <x:c r="A29" s="60"/>
      <x:c r="B29" s="60"/>
      <x:c r="C29" s="60"/>
      <x:c r="D29" s="60"/>
      <x:c r="E29" s="60"/>
      <x:c r="F29" s="60"/>
      <x:c r="G29" s="60"/>
      <x:c r="H29" s="60"/>
      <x:c r="I29" s="60"/>
      <x:c r="J29" s="60"/>
      <x:c r="K29" s="60"/>
      <x:c r="L29" s="60"/>
      <x:c r="M29" s="60"/>
      <x:c r="N29" s="60"/>
    </x:row>
    <x:row r="30">
      <x:c r="A30" s="60"/>
      <x:c r="B30" s="60"/>
      <x:c r="C30" s="60"/>
      <x:c r="D30" s="60"/>
      <x:c r="E30" s="60"/>
      <x:c r="F30" s="60"/>
      <x:c r="G30" s="60"/>
      <x:c r="H30" s="60"/>
      <x:c r="I30" s="60"/>
      <x:c r="J30" s="60"/>
      <x:c r="K30" s="60"/>
      <x:c r="L30" s="60"/>
      <x:c r="M30" s="60"/>
      <x:c r="N30" s="60"/>
    </x:row>
    <x:row r="31">
      <x:c r="A31" s="60"/>
      <x:c r="B31" s="60"/>
      <x:c r="C31" s="60"/>
      <x:c r="D31" s="60"/>
      <x:c r="E31" s="60"/>
      <x:c r="F31" s="60"/>
      <x:c r="G31" s="60"/>
      <x:c r="H31" s="60"/>
      <x:c r="I31" s="60"/>
      <x:c r="J31" s="60"/>
      <x:c r="K31" s="60"/>
      <x:c r="L31" s="60"/>
      <x:c r="M31" s="60"/>
      <x:c r="N31" s="60"/>
    </x:row>
    <x:row r="32">
      <x:c r="A32" s="60"/>
      <x:c r="B32" s="60"/>
      <x:c r="C32" s="60"/>
      <x:c r="D32" s="60"/>
      <x:c r="E32" s="60"/>
      <x:c r="F32" s="60"/>
      <x:c r="G32" s="60"/>
      <x:c r="H32" s="60"/>
      <x:c r="I32" s="60"/>
      <x:c r="J32" s="60"/>
      <x:c r="K32" s="60"/>
      <x:c r="L32" s="60"/>
      <x:c r="M32" s="60"/>
      <x:c r="N32" s="60"/>
    </x:row>
    <x:row r="33">
      <x:c r="A33" s="60"/>
      <x:c r="B33" s="60"/>
      <x:c r="C33" s="60"/>
      <x:c r="D33" s="60"/>
      <x:c r="E33" s="60"/>
      <x:c r="F33" s="60"/>
      <x:c r="G33" s="60"/>
      <x:c r="H33" s="60"/>
      <x:c r="I33" s="60"/>
      <x:c r="J33" s="60"/>
      <x:c r="K33" s="60"/>
      <x:c r="L33" s="60"/>
      <x:c r="M33" s="60"/>
      <x:c r="N33" s="60"/>
    </x:row>
    <x:row r="34">
      <x:c r="A34" s="60"/>
      <x:c r="B34" s="60"/>
      <x:c r="C34" s="60"/>
      <x:c r="D34" s="60"/>
      <x:c r="E34" s="60"/>
      <x:c r="F34" s="60"/>
      <x:c r="G34" s="60"/>
      <x:c r="H34" s="60"/>
      <x:c r="I34" s="60"/>
      <x:c r="J34" s="60"/>
      <x:c r="K34" s="60"/>
      <x:c r="L34" s="60"/>
      <x:c r="M34" s="60"/>
      <x:c r="N34" s="60"/>
    </x:row>
    <x:row r="35">
      <x:c r="A35" s="60"/>
      <x:c r="B35" s="60"/>
      <x:c r="C35" s="60"/>
      <x:c r="D35" s="60"/>
      <x:c r="E35" s="60"/>
      <x:c r="F35" s="60"/>
      <x:c r="G35" s="60"/>
      <x:c r="H35" s="60"/>
      <x:c r="I35" s="60"/>
      <x:c r="J35" s="60"/>
      <x:c r="K35" s="60"/>
      <x:c r="L35" s="60"/>
      <x:c r="M35" s="60"/>
      <x:c r="N35" s="60"/>
    </x:row>
    <x:row r="36">
      <x:c r="A36" s="62" t="str">
        <x:v>https://www.okolo.events — live map and discovery product</x:v>
      </x:c>
      <x:c r="B36" s="62" t="str">
        <x:v>https://www.okolo.events — live map and discovery product</x:v>
      </x:c>
      <x:c r="C36" s="62" t="str">
        <x:v>https://www.okolo.events — live map and discovery product</x:v>
      </x:c>
      <x:c r="D36" s="62" t="str">
        <x:v>https://www.okolo.events — live map and discovery product</x:v>
      </x:c>
      <x:c r="E36" s="62" t="str">
        <x:v>https://www.okolo.events — live map and discovery product</x:v>
      </x:c>
      <x:c r="F36" s="62" t="str">
        <x:v>https://www.okolo.events — live map and discovery product</x:v>
      </x:c>
      <x:c r="G36" s="60"/>
      <x:c r="H36" s="62" t="str">
        <x:v>Use only when discussing saved items and structured submissions; it is not an organiser dashboard.</x:v>
      </x:c>
      <x:c r="I36" s="62" t="str">
        <x:v>Use only when discussing saved items and structured submissions; it is not an organiser dashboard.</x:v>
      </x:c>
      <x:c r="J36" s="62" t="str">
        <x:v>Use only when discussing saved items and structured submissions; it is not an organiser dashboard.</x:v>
      </x:c>
      <x:c r="K36" s="62" t="str">
        <x:v>Use only when discussing saved items and structured submissions; it is not an organiser dashboard.</x:v>
      </x:c>
      <x:c r="L36" s="62" t="str">
        <x:v>Use only when discussing saved items and structured submissions; it is not an organiser dashboard.</x:v>
      </x:c>
      <x:c r="M36" s="62" t="str">
        <x:v>Use only when discussing saved items and structured submissions; it is not an organiser dashboard.</x:v>
      </x:c>
      <x:c r="N36" s="60"/>
    </x:row>
    <x:row r="37">
      <x:c r="A37" s="62" t="str">
        <x:v>https://www.okolo.events — live map and discovery product</x:v>
      </x:c>
      <x:c r="B37" s="62" t="str">
        <x:v>https://www.okolo.events — live map and discovery product</x:v>
      </x:c>
      <x:c r="C37" s="62" t="str">
        <x:v>https://www.okolo.events — live map and discovery product</x:v>
      </x:c>
      <x:c r="D37" s="62" t="str">
        <x:v>https://www.okolo.events — live map and discovery product</x:v>
      </x:c>
      <x:c r="E37" s="62" t="str">
        <x:v>https://www.okolo.events — live map and discovery product</x:v>
      </x:c>
      <x:c r="F37" s="62" t="str">
        <x:v>https://www.okolo.events — live map and discovery product</x:v>
      </x:c>
      <x:c r="G37" s="60"/>
      <x:c r="H37" s="62" t="str">
        <x:v>Use only when discussing saved items and structured submissions; it is not an organiser dashboard.</x:v>
      </x:c>
      <x:c r="I37" s="62" t="str">
        <x:v>Use only when discussing saved items and structured submissions; it is not an organiser dashboard.</x:v>
      </x:c>
      <x:c r="J37" s="62" t="str">
        <x:v>Use only when discussing saved items and structured submissions; it is not an organiser dashboard.</x:v>
      </x:c>
      <x:c r="K37" s="62" t="str">
        <x:v>Use only when discussing saved items and structured submissions; it is not an organiser dashboard.</x:v>
      </x:c>
      <x:c r="L37" s="62" t="str">
        <x:v>Use only when discussing saved items and structured submissions; it is not an organiser dashboard.</x:v>
      </x:c>
      <x:c r="M37" s="62" t="str">
        <x:v>Use only when discussing saved items and structured submissions; it is not an organiser dashboard.</x:v>
      </x:c>
      <x:c r="N37" s="60"/>
    </x:row>
  </x:sheetData>
  <x:mergeCells>
    <x:mergeCell ref="A1:N1"/>
    <x:mergeCell ref="A2:N2"/>
    <x:mergeCell ref="A3:F3"/>
    <x:mergeCell ref="H3:M3"/>
    <x:mergeCell ref="A21:F21"/>
    <x:mergeCell ref="H21:M21"/>
    <x:mergeCell ref="A18:F19"/>
    <x:mergeCell ref="H18:M19"/>
    <x:mergeCell ref="A36:F37"/>
    <x:mergeCell ref="H36:M37"/>
  </x:mergeCells>
  <x:pageMargins left="0.7" right="0.7" top="0.75" bottom="0.75" header="0.3" footer="0.3"/>
  <x:drawing xmlns:r="http://schemas.openxmlformats.org/officeDocument/2006/relationships" r:id="R93034fa26c8148a4"/>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40" hidden="0" customWidth="1"/>
    <x:col min="5" max="5" width="34" hidden="0" customWidth="1"/>
    <x:col min="6" max="6" width="36" hidden="0" customWidth="1"/>
  </x:cols>
  <x:sheetData>
    <x:row r="1" ht="34" customHeight="1">
      <x:c r="A1" s="65" t="str">
        <x:v>Outreach Playbook</x:v>
      </x:c>
      <x:c r="B1" s="65" t="str">
        <x:v>Outreach Playbook</x:v>
      </x:c>
      <x:c r="C1" s="65" t="str">
        <x:v>Outreach Playbook</x:v>
      </x:c>
      <x:c r="D1" s="65" t="str">
        <x:v>Outreach Playbook</x:v>
      </x:c>
      <x:c r="E1" s="65" t="str">
        <x:v>Outreach Playbook</x:v>
      </x:c>
      <x:c r="F1" s="65" t="str">
        <x:v>Outreach Playbook</x:v>
      </x:c>
      <x:c r="G1" s="65" t="str">
        <x:v>Outreach Playbook</x:v>
      </x:c>
      <x:c r="H1" s="65" t="str">
        <x:v>Outreach Playbook</x:v>
      </x:c>
      <x:c r="I1" s="65" t="str">
        <x:v>Outreach Playbook</x:v>
      </x:c>
      <x:c r="J1" s="65" t="str">
        <x:v>Outreach Playbook</x:v>
      </x:c>
      <x:c r="K1" s="65" t="str">
        <x:v>Outreach Playbook</x:v>
      </x:c>
      <x:c r="L1" s="65" t="str">
        <x:v>Outreach Playbook</x:v>
      </x:c>
      <x:c r="M1" s="65" t="str">
        <x:v>Outreach Playbook</x:v>
      </x:c>
      <x:c r="N1" s="65" t="str">
        <x:v>Outreach Playbook</x:v>
      </x:c>
    </x:row>
    <x:row r="2" ht="30" customHeight="1">
      <x:c r="A2" s="59" t="str">
        <x:v>Two distinct offers, a permission-first contact route, and a single specific call to action.</x:v>
      </x:c>
      <x:c r="B2" s="59" t="str">
        <x:v>Two distinct offers, a permission-first contact route, and a single specific call to action.</x:v>
      </x:c>
      <x:c r="C2" s="59" t="str">
        <x:v>Two distinct offers, a permission-first contact route, and a single specific call to action.</x:v>
      </x:c>
      <x:c r="D2" s="59" t="str">
        <x:v>Two distinct offers, a permission-first contact route, and a single specific call to action.</x:v>
      </x:c>
      <x:c r="E2" s="59" t="str">
        <x:v>Two distinct offers, a permission-first contact route, and a single specific call to action.</x:v>
      </x:c>
      <x:c r="F2" s="59" t="str">
        <x:v>Two distinct offers, a permission-first contact route, and a single specific call to action.</x:v>
      </x:c>
      <x:c r="G2" s="59" t="str">
        <x:v>Two distinct offers, a permission-first contact route, and a single specific call to action.</x:v>
      </x:c>
      <x:c r="H2" s="59" t="str">
        <x:v>Two distinct offers, a permission-first contact route, and a single specific call to action.</x:v>
      </x:c>
      <x:c r="I2" s="59" t="str">
        <x:v>Two distinct offers, a permission-first contact route, and a single specific call to action.</x:v>
      </x:c>
      <x:c r="J2" s="59" t="str">
        <x:v>Two distinct offers, a permission-first contact route, and a single specific call to action.</x:v>
      </x:c>
      <x:c r="K2" s="59" t="str">
        <x:v>Two distinct offers, a permission-first contact route, and a single specific call to action.</x:v>
      </x:c>
      <x:c r="L2" s="59" t="str">
        <x:v>Two distinct offers, a permission-first contact route, and a single specific call to action.</x:v>
      </x:c>
      <x:c r="M2" s="59" t="str">
        <x:v>Two distinct offers, a permission-first contact route, and a single specific call to action.</x:v>
      </x:c>
      <x:c r="N2" s="59" t="str">
        <x:v>Two distinct offers, a permission-first contact route, and a single specific call to action.</x:v>
      </x:c>
    </x:row>
    <x:row r="3">
      <x:c r="A3" s="60"/>
      <x:c r="B3" s="60"/>
      <x:c r="C3" s="60"/>
      <x:c r="D3" s="60"/>
      <x:c r="E3" s="60"/>
      <x:c r="F3" s="60"/>
      <x:c r="G3" s="60"/>
      <x:c r="H3" s="60"/>
      <x:c r="I3" s="60"/>
      <x:c r="J3" s="60"/>
      <x:c r="K3" s="60"/>
      <x:c r="L3" s="60"/>
      <x:c r="M3" s="60"/>
      <x:c r="N3" s="60"/>
    </x:row>
    <x:row r="4" ht="55" customHeight="1">
      <x:c r="A4" s="79" t="str">
        <x:v>Segment</x:v>
      </x:c>
      <x:c r="B4" s="79" t="str">
        <x:v>Buyer problem</x:v>
      </x:c>
      <x:c r="C4" s="79" t="str">
        <x:v>Offer</x:v>
      </x:c>
      <x:c r="D4" s="79" t="str">
        <x:v>Evidence</x:v>
      </x:c>
      <x:c r="E4" s="79" t="str">
        <x:v>First route</x:v>
      </x:c>
      <x:c r="F4" s="79" t="str">
        <x:v>CTA</x:v>
      </x:c>
      <x:c r="G4" s="60"/>
      <x:c r="H4" s="60"/>
      <x:c r="I4" s="60"/>
      <x:c r="J4" s="60"/>
      <x:c r="K4" s="60"/>
      <x:c r="L4" s="60"/>
      <x:c r="M4" s="60"/>
      <x:c r="N4" s="60"/>
    </x:row>
    <x:row r="5" ht="55" customHeight="1">
      <x:c r="A5" s="62" t="str">
        <x:v>Festival / city event</x:v>
      </x:c>
      <x:c r="B5" s="62" t="str">
        <x:v>Programme, times and locations are hard to scan on mobile</x:v>
      </x:c>
      <x:c r="C5" s="62" t="str">
        <x:v>Managed hosted programme map</x:v>
      </x:c>
      <x:c r="D5" s="62" t="str">
        <x:v>Partner page, fictional demo, live map</x:v>
      </x:c>
      <x:c r="E5" s="62" t="str">
        <x:v>Warm introduction or explicit partnership channel</x:v>
      </x:c>
      <x:c r="F5" s="62" t="str">
        <x:v>20-minute fit call, followed by a one-page tailored pilot</x:v>
      </x:c>
      <x:c r="G5" s="60"/>
      <x:c r="H5" s="60"/>
      <x:c r="I5" s="60"/>
      <x:c r="J5" s="60"/>
      <x:c r="K5" s="60"/>
      <x:c r="L5" s="60"/>
      <x:c r="M5" s="60"/>
      <x:c r="N5" s="60"/>
    </x:row>
    <x:row r="6" ht="55" customHeight="1">
      <x:c r="A6" s="62" t="str">
        <x:v>Cultural campus</x:v>
      </x:c>
      <x:c r="B6" s="62" t="str">
        <x:v>Visitors move between institutions, spaces and programmes</x:v>
      </x:c>
      <x:c r="C6" s="62" t="str">
        <x:v>Managed campus map</x:v>
      </x:c>
      <x:c r="D6" s="62" t="str">
        <x:v>Demo filters, locations and dedicated URL</x:v>
      </x:c>
      <x:c r="E6" s="62" t="str">
        <x:v>Warm cultural-sector introduction</x:v>
      </x:c>
      <x:c r="F6" s="62" t="str">
        <x:v>Identify one bounded programme or season</x:v>
      </x:c>
      <x:c r="G6" s="60"/>
      <x:c r="H6" s="60"/>
      <x:c r="I6" s="60"/>
      <x:c r="J6" s="60"/>
      <x:c r="K6" s="60"/>
      <x:c r="L6" s="60"/>
      <x:c r="M6" s="60"/>
      <x:c r="N6" s="60"/>
    </x:row>
    <x:row r="7" ht="55" customHeight="1">
      <x:c r="A7" s="62" t="str">
        <x:v>Convention / fair</x:v>
      </x:c>
      <x:c r="B7" s="62" t="str">
        <x:v>Parallel sessions, halls and exhibitors require orientation</x:v>
      </x:c>
      <x:c r="C7" s="62" t="str">
        <x:v>Managed event map beside existing ticketing</x:v>
      </x:c>
      <x:c r="D7" s="62" t="str">
        <x:v>Dedicated URL, filters and aggregate referrals</x:v>
      </x:c>
      <x:c r="E7" s="62" t="str">
        <x:v>Industry event or ACB introduction</x:v>
      </x:c>
      <x:c r="F7" s="62" t="str">
        <x:v>Map one event, not the venue's entire stack</x:v>
      </x:c>
      <x:c r="G7" s="60"/>
      <x:c r="H7" s="60"/>
      <x:c r="I7" s="60"/>
      <x:c r="J7" s="60"/>
      <x:c r="K7" s="60"/>
      <x:c r="L7" s="60"/>
      <x:c r="M7" s="60"/>
      <x:c r="N7" s="60"/>
    </x:row>
    <x:row r="8" ht="55" customHeight="1">
      <x:c r="A8" s="62" t="str">
        <x:v>Family destination</x:v>
      </x:c>
      <x:c r="B8" s="62" t="str">
        <x:v>Families need dates, constraints and distance at a glance</x:v>
      </x:c>
      <x:c r="C8" s="62" t="str">
        <x:v>Seasonal programme map + Okolo discovery</x:v>
      </x:c>
      <x:c r="D8" s="62" t="str">
        <x:v>Families-first filters and live map</x:v>
      </x:c>
      <x:c r="E8" s="62" t="str">
        <x:v>Tourism or family-network introduction</x:v>
      </x:c>
      <x:c r="F8" s="62" t="str">
        <x:v>Pilot one school-holiday or seasonal programme</x:v>
      </x:c>
      <x:c r="G8" s="60"/>
      <x:c r="H8" s="60"/>
      <x:c r="I8" s="60"/>
      <x:c r="J8" s="60"/>
      <x:c r="K8" s="60"/>
      <x:c r="L8" s="60"/>
      <x:c r="M8" s="60"/>
      <x:c r="N8" s="60"/>
    </x:row>
    <x:row r="9" ht="55" customHeight="1">
      <x:c r="A9" s="62" t="str">
        <x:v>Tourism / municipality</x:v>
      </x:c>
      <x:c r="B9" s="62" t="str">
        <x:v>Reliable regional data is fragmented and rights-sensitive</x:v>
      </x:c>
      <x:c r="C9" s="62" t="str">
        <x:v>Authorised data/distribution partnership</x:v>
      </x:c>
      <x:c r="D9" s="62" t="str">
        <x:v>Source linkback and structured factual display</x:v>
      </x:c>
      <x:c r="E9" s="62" t="str">
        <x:v>Formal B2B enquiry or warm public-sector route</x:v>
      </x:c>
      <x:c r="F9" s="62" t="str">
        <x:v>Technical and legal discovery, then one-region pilot</x:v>
      </x:c>
      <x:c r="G9" s="60"/>
      <x:c r="H9" s="60"/>
      <x:c r="I9" s="60"/>
      <x:c r="J9" s="60"/>
      <x:c r="K9" s="60"/>
      <x:c r="L9" s="60"/>
      <x:c r="M9" s="60"/>
      <x:c r="N9" s="60"/>
    </x:row>
    <x:row r="10" ht="55" customHeight="1">
      <x:c r="A10" s="62" t="str">
        <x:v>Media / platform</x:v>
      </x:c>
      <x:c r="B10" s="62" t="str">
        <x:v>Need useful event discovery and attributable outbound traffic</x:v>
      </x:c>
      <x:c r="C10" s="62" t="str">
        <x:v>Editorial/referral partnership</x:v>
      </x:c>
      <x:c r="D10" s="62" t="str">
        <x:v>Weekend discovery and direct source links</x:v>
      </x:c>
      <x:c r="E10" s="62" t="str">
        <x:v>Explicit partnership route or editorial introduction</x:v>
      </x:c>
      <x:c r="F10" s="62" t="str">
        <x:v>Co-design one measured content/discovery pilot</x:v>
      </x:c>
      <x:c r="G10" s="60"/>
      <x:c r="H10" s="60"/>
      <x:c r="I10" s="60"/>
      <x:c r="J10" s="60"/>
      <x:c r="K10" s="60"/>
      <x:c r="L10" s="60"/>
      <x:c r="M10" s="60"/>
      <x:c r="N10" s="60"/>
    </x:row>
    <x:row r="11" ht="55" customHeight="1">
      <x:c r="A11" s="60"/>
      <x:c r="B11" s="60"/>
      <x:c r="C11" s="60"/>
      <x:c r="D11" s="60"/>
      <x:c r="E11" s="60"/>
      <x:c r="F11" s="60"/>
      <x:c r="G11" s="60"/>
      <x:c r="H11" s="60"/>
      <x:c r="I11" s="60"/>
      <x:c r="J11" s="60"/>
      <x:c r="K11" s="60"/>
      <x:c r="L11" s="60"/>
      <x:c r="M11" s="60"/>
      <x:c r="N11" s="60"/>
    </x:row>
    <x:row r="12" ht="55" customHeight="1">
      <x:c r="A12" s="79" t="str">
        <x:v>Step</x:v>
      </x:c>
      <x:c r="B12" s="79" t="str">
        <x:v>Route</x:v>
      </x:c>
      <x:c r="C12" s="79" t="str">
        <x:v>Required evidence</x:v>
      </x:c>
      <x:c r="D12" s="79" t="str">
        <x:v>Record</x:v>
      </x:c>
      <x:c r="E12" s="79" t="str">
        <x:v>Stop condition</x:v>
      </x:c>
      <x:c r="F12" s="60"/>
      <x:c r="G12" s="60"/>
      <x:c r="H12" s="60"/>
      <x:c r="I12" s="60"/>
      <x:c r="J12" s="60"/>
      <x:c r="K12" s="60"/>
      <x:c r="L12" s="60"/>
      <x:c r="M12" s="60"/>
      <x:c r="N12" s="60"/>
    </x:row>
    <x:row r="13" ht="55" customHeight="1">
      <x:c r="A13" s="62" t="str">
        <x:v>1</x:v>
      </x:c>
      <x:c r="B13" s="62" t="str">
        <x:v>Warm introduction, postal note, in-person meeting or reviewed explicit partner channel</x:v>
      </x:c>
      <x:c r="C13" s="62" t="str">
        <x:v>Why the organisation is a fit</x:v>
      </x:c>
      <x:c r="D13" s="62" t="str">
        <x:v>Source URL and route owner</x:v>
      </x:c>
      <x:c r="E13" s="62" t="str">
        <x:v>No credible route</x:v>
      </x:c>
      <x:c r="F13" s="60"/>
      <x:c r="G13" s="60"/>
      <x:c r="H13" s="60"/>
      <x:c r="I13" s="60"/>
      <x:c r="J13" s="60"/>
      <x:c r="K13" s="60"/>
      <x:c r="L13" s="60"/>
      <x:c r="M13" s="60"/>
      <x:c r="N13" s="60"/>
    </x:row>
    <x:row r="14" ht="55" customHeight="1">
      <x:c r="A14" s="62" t="str">
        <x:v>2</x:v>
      </x:c>
      <x:c r="B14" s="62" t="str">
        <x:v>Ask for permission to send a tailored concept</x:v>
      </x:c>
      <x:c r="C14" s="62" t="str">
        <x:v>Clear identity, purpose and value</x:v>
      </x:c>
      <x:c r="D14" s="62" t="str">
        <x:v>Date, person and scope of consent</x:v>
      </x:c>
      <x:c r="E14" s="62" t="str">
        <x:v>No permission</x:v>
      </x:c>
      <x:c r="F14" s="60"/>
      <x:c r="G14" s="60"/>
      <x:c r="H14" s="60"/>
      <x:c r="I14" s="60"/>
      <x:c r="J14" s="60"/>
      <x:c r="K14" s="60"/>
      <x:c r="L14" s="60"/>
      <x:c r="M14" s="60"/>
      <x:c r="N14" s="60"/>
    </x:row>
    <x:row r="15" ht="55" customHeight="1">
      <x:c r="A15" s="62" t="str">
        <x:v>3</x:v>
      </x:c>
      <x:c r="B15" s="62" t="str">
        <x:v>Send the tailored email with 2–3 screenshots</x:v>
      </x:c>
      <x:c r="C15" s="62" t="str">
        <x:v>Verified personalisation fact</x:v>
      </x:c>
      <x:c r="D15" s="62" t="str">
        <x:v>Version, attachments and recipient</x:v>
      </x:c>
      <x:c r="E15" s="62" t="str">
        <x:v>Bounce, objection or mismatch</x:v>
      </x:c>
      <x:c r="F15" s="60"/>
      <x:c r="G15" s="60"/>
      <x:c r="H15" s="60"/>
      <x:c r="I15" s="60"/>
      <x:c r="J15" s="60"/>
      <x:c r="K15" s="60"/>
      <x:c r="L15" s="60"/>
      <x:c r="M15" s="60"/>
      <x:c r="N15" s="60"/>
    </x:row>
    <x:row r="16" ht="55" customHeight="1">
      <x:c r="A16" s="62" t="str">
        <x:v>4</x:v>
      </x:c>
      <x:c r="B16" s="62" t="str">
        <x:v>Hold a 20-minute discovery call</x:v>
      </x:c>
      <x:c r="C16" s="62" t="str">
        <x:v>Programme size, source, launch date and owner</x:v>
      </x:c>
      <x:c r="D16" s="62" t="str">
        <x:v>Notes and next decision</x:v>
      </x:c>
      <x:c r="E16" s="62" t="str">
        <x:v>No operational sponsor</x:v>
      </x:c>
      <x:c r="F16" s="60"/>
      <x:c r="G16" s="60"/>
      <x:c r="H16" s="60"/>
      <x:c r="I16" s="60"/>
      <x:c r="J16" s="60"/>
      <x:c r="K16" s="60"/>
      <x:c r="L16" s="60"/>
      <x:c r="M16" s="60"/>
      <x:c r="N16" s="60"/>
    </x:row>
    <x:row r="17" ht="55" customHeight="1">
      <x:c r="A17" s="62" t="str">
        <x:v>5</x:v>
      </x:c>
      <x:c r="B17" s="62" t="str">
        <x:v>Send a one-page pilot scope</x:v>
      </x:c>
      <x:c r="C17" s="62" t="str">
        <x:v>Deliverables, inputs, timeline, measures and exclusions</x:v>
      </x:c>
      <x:c r="D17" s="62" t="str">
        <x:v>Proposal version</x:v>
      </x:c>
      <x:c r="E17" s="62" t="str">
        <x:v>No budget or approved data</x:v>
      </x:c>
      <x:c r="F17" s="60"/>
      <x:c r="G17" s="60"/>
      <x:c r="H17" s="60"/>
      <x:c r="I17" s="60"/>
      <x:c r="J17" s="60"/>
      <x:c r="K17" s="60"/>
      <x:c r="L17" s="60"/>
      <x:c r="M17" s="60"/>
      <x:c r="N17" s="60"/>
    </x:row>
    <x:row r="18" ht="55" customHeight="1">
      <x:c r="A18" s="62" t="str">
        <x:v>6</x:v>
      </x:c>
      <x:c r="B18" s="62" t="str">
        <x:v>Follow up once</x:v>
      </x:c>
      <x:c r="C18" s="62" t="str">
        <x:v>New concrete information</x:v>
      </x:c>
      <x:c r="D18" s="62" t="str">
        <x:v>Date and outcome</x:v>
      </x:c>
      <x:c r="E18" s="62" t="str">
        <x:v>No interest or no response</x:v>
      </x:c>
      <x:c r="F18" s="60"/>
      <x:c r="G18" s="60"/>
      <x:c r="H18" s="60"/>
      <x:c r="I18" s="60"/>
      <x:c r="J18" s="60"/>
      <x:c r="K18" s="60"/>
      <x:c r="L18" s="60"/>
      <x:c r="M18" s="60"/>
      <x:c r="N18" s="60"/>
    </x:row>
    <x:row r="19" ht="55" customHeight="1">
      <x:c r="A19" s="60"/>
      <x:c r="B19" s="60"/>
      <x:c r="C19" s="60"/>
      <x:c r="D19" s="60"/>
      <x:c r="E19" s="60"/>
      <x:c r="F19" s="60"/>
      <x:c r="G19" s="60"/>
      <x:c r="H19" s="60"/>
      <x:c r="I19" s="60"/>
      <x:c r="J19" s="60"/>
      <x:c r="K19" s="60"/>
      <x:c r="L19" s="60"/>
      <x:c r="M19" s="60"/>
      <x:c r="N19" s="60"/>
    </x:row>
    <x:row r="20" ht="55" customHeight="1">
      <x:c r="A20" s="79" t="str">
        <x:v>Claim</x:v>
      </x:c>
      <x:c r="B20" s="79" t="str">
        <x:v>Allowed now?</x:v>
      </x:c>
      <x:c r="C20" s="79" t="str">
        <x:v>Approved wording</x:v>
      </x:c>
      <x:c r="D20" s="79" t="str">
        <x:v>Evidence needed</x:v>
      </x:c>
      <x:c r="E20" s="79" t="str">
        <x:v>Risk</x:v>
      </x:c>
      <x:c r="F20" s="60"/>
      <x:c r="G20" s="60"/>
      <x:c r="H20" s="60"/>
      <x:c r="I20" s="60"/>
      <x:c r="J20" s="60"/>
      <x:c r="K20" s="60"/>
      <x:c r="L20" s="60"/>
      <x:c r="M20" s="60"/>
      <x:c r="N20" s="60"/>
    </x:row>
    <x:row r="21" ht="55" customHeight="1">
      <x:c r="A21" s="62" t="str">
        <x:v>Hosted interactive programme map</x:v>
      </x:c>
      <x:c r="B21" s="62" t="str">
        <x:v>Yes</x:v>
      </x:c>
      <x:c r="C21" s="62" t="str">
        <x:v>A managed pilot with a dedicated URL, programme, venues and filters</x:v>
      </x:c>
      <x:c r="D21" s="62" t="str">
        <x:v>Live partner page and demo</x:v>
      </x:c>
      <x:c r="E21" s="62" t="str">
        <x:v>Low if scope is precise</x:v>
      </x:c>
      <x:c r="F21" s="60"/>
      <x:c r="G21" s="60"/>
      <x:c r="H21" s="60"/>
      <x:c r="I21" s="60"/>
      <x:c r="J21" s="60"/>
      <x:c r="K21" s="60"/>
      <x:c r="L21" s="60"/>
      <x:c r="M21" s="60"/>
      <x:c r="N21" s="60"/>
    </x:row>
    <x:row r="22" ht="55" customHeight="1">
      <x:c r="A22" s="62" t="str">
        <x:v>Fictional demo</x:v>
      </x:c>
      <x:c r="B22" s="62" t="str">
        <x:v>Yes</x:v>
      </x:c>
      <x:c r="C22" s="62" t="str">
        <x:v>An explicitly fictional interactive product example</x:v>
      </x:c>
      <x:c r="D22" s="62" t="str">
        <x:v>Live demo disclaimer</x:v>
      </x:c>
      <x:c r="E22" s="62" t="str">
        <x:v>Never call it a customer case</x:v>
      </x:c>
      <x:c r="F22" s="60"/>
      <x:c r="G22" s="60"/>
      <x:c r="H22" s="60"/>
      <x:c r="I22" s="60"/>
      <x:c r="J22" s="60"/>
      <x:c r="K22" s="60"/>
      <x:c r="L22" s="60"/>
      <x:c r="M22" s="60"/>
      <x:c r="N22" s="60"/>
    </x:row>
    <x:row r="23" ht="55" customHeight="1">
      <x:c r="A23" s="62" t="str">
        <x:v>Aggregate usage and referrals</x:v>
      </x:c>
      <x:c r="B23" s="62" t="str">
        <x:v>Yes</x:v>
      </x:c>
      <x:c r="C23" s="62" t="str">
        <x:v>Reported for a defined period with clear caveats</x:v>
      </x:c>
      <x:c r="D23" s="62" t="str">
        <x:v>Production analytics path</x:v>
      </x:c>
      <x:c r="E23" s="62" t="str">
        <x:v>Do not imply ticket sales</x:v>
      </x:c>
      <x:c r="F23" s="60"/>
      <x:c r="G23" s="60"/>
      <x:c r="H23" s="60"/>
      <x:c r="I23" s="60"/>
      <x:c r="J23" s="60"/>
      <x:c r="K23" s="60"/>
      <x:c r="L23" s="60"/>
      <x:c r="M23" s="60"/>
      <x:c r="N23" s="60"/>
    </x:row>
    <x:row r="24" ht="55" customHeight="1">
      <x:c r="A24" s="62" t="str">
        <x:v>Self-service organiser account</x:v>
      </x:c>
      <x:c r="B24" s="62" t="str">
        <x:v>No</x:v>
      </x:c>
      <x:c r="C24" s="62" t="str">
        <x:v>Not currently offered</x:v>
      </x:c>
      <x:c r="D24" s="62" t="str">
        <x:v>Product work and approval</x:v>
      </x:c>
      <x:c r="E24" s="62" t="str">
        <x:v>Mis-selling</x:v>
      </x:c>
      <x:c r="F24" s="60"/>
      <x:c r="G24" s="60"/>
      <x:c r="H24" s="60"/>
      <x:c r="I24" s="60"/>
      <x:c r="J24" s="60"/>
      <x:c r="K24" s="60"/>
      <x:c r="L24" s="60"/>
      <x:c r="M24" s="60"/>
      <x:c r="N24" s="60"/>
    </x:row>
    <x:row r="25" ht="55" customHeight="1">
      <x:c r="A25" s="62" t="str">
        <x:v>Guaranteed audience or reach</x:v>
      </x:c>
      <x:c r="B25" s="62" t="str">
        <x:v>No</x:v>
      </x:c>
      <x:c r="C25" s="62" t="str">
        <x:v>Do not claim</x:v>
      </x:c>
      <x:c r="D25" s="62" t="str">
        <x:v>Four-weekend proof pack</x:v>
      </x:c>
      <x:c r="E25" s="62" t="str">
        <x:v>Credibility and advertising risk</x:v>
      </x:c>
      <x:c r="F25" s="60"/>
      <x:c r="G25" s="60"/>
      <x:c r="H25" s="60"/>
      <x:c r="I25" s="60"/>
      <x:c r="J25" s="60"/>
      <x:c r="K25" s="60"/>
      <x:c r="L25" s="60"/>
      <x:c r="M25" s="60"/>
      <x:c r="N25" s="60"/>
    </x:row>
    <x:row r="26" ht="55" customHeight="1">
      <x:c r="A26" s="62" t="str">
        <x:v>Ticket conversion or sales</x:v>
      </x:c>
      <x:c r="B26" s="62" t="str">
        <x:v>No</x:v>
      </x:c>
      <x:c r="C26" s="62" t="str">
        <x:v>Outbound referrals only</x:v>
      </x:c>
      <x:c r="D26" s="62" t="str">
        <x:v>Agreed attribution integration</x:v>
      </x:c>
      <x:c r="E26" s="62" t="str">
        <x:v>False attribution</x:v>
      </x:c>
      <x:c r="F26" s="60"/>
      <x:c r="G26" s="60"/>
      <x:c r="H26" s="60"/>
      <x:c r="I26" s="60"/>
      <x:c r="J26" s="60"/>
      <x:c r="K26" s="60"/>
      <x:c r="L26" s="60"/>
      <x:c r="M26" s="60"/>
      <x:c r="N26" s="60"/>
    </x:row>
    <x:row r="27" ht="55" customHeight="1">
      <x:c r="A27" s="62" t="str">
        <x:v>Nationwide rollout</x:v>
      </x:c>
      <x:c r="B27" s="62" t="str">
        <x:v>No</x:v>
      </x:c>
      <x:c r="C27" s="62" t="str">
        <x:v>One bounded pilot in current validation phase</x:v>
      </x:c>
      <x:c r="D27" s="62" t="str">
        <x:v>Go/no-go validation result</x:v>
      </x:c>
      <x:c r="E27" s="62" t="str">
        <x:v>Scope drift</x:v>
      </x:c>
      <x:c r="F27" s="60"/>
      <x:c r="G27" s="60"/>
      <x:c r="H27" s="60"/>
      <x:c r="I27" s="60"/>
      <x:c r="J27" s="60"/>
      <x:c r="K27" s="60"/>
      <x:c r="L27" s="60"/>
      <x:c r="M27" s="60"/>
      <x:c r="N27" s="60"/>
    </x:row>
    <x:row r="28" ht="55" customHeight="1">
      <x:c r="A28" s="62" t="str">
        <x:v>Approved data partnership</x:v>
      </x:c>
      <x:c r="B28" s="62" t="str">
        <x:v>Conditional</x:v>
      </x:c>
      <x:c r="C28" s="62" t="str">
        <x:v>Only after rights, refresh and source terms are agreed</x:v>
      </x:c>
      <x:c r="D28" s="62" t="str">
        <x:v>Written authorisation</x:v>
      </x:c>
      <x:c r="E28" s="62" t="str">
        <x:v>Data/contract exposure</x:v>
      </x:c>
      <x:c r="F28" s="60"/>
      <x:c r="G28" s="60"/>
      <x:c r="H28" s="60"/>
      <x:c r="I28" s="60"/>
      <x:c r="J28" s="60"/>
      <x:c r="K28" s="60"/>
      <x:c r="L28" s="60"/>
      <x:c r="M28" s="60"/>
      <x:c r="N28" s="60"/>
    </x:row>
  </x:sheetData>
  <x:mergeCells>
    <x:mergeCell ref="A1:N1"/>
    <x:mergeCell ref="A2:N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34" hidden="0" customWidth="1"/>
    <x:col min="4" max="4" width="3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65" t="str">
        <x:v>Email Templates</x:v>
      </x:c>
      <x:c r="B1" s="65" t="str">
        <x:v>Email Templates</x:v>
      </x:c>
      <x:c r="C1" s="65" t="str">
        <x:v>Email Templates</x:v>
      </x:c>
      <x:c r="D1" s="65" t="str">
        <x:v>Email Templates</x:v>
      </x:c>
      <x:c r="E1" s="65" t="str">
        <x:v>Email Templates</x:v>
      </x:c>
      <x:c r="F1" s="65" t="str">
        <x:v>Email Templates</x:v>
      </x:c>
      <x:c r="G1" s="65" t="str">
        <x:v>Email Templates</x:v>
      </x:c>
      <x:c r="H1" s="65" t="str">
        <x:v>Email Templates</x:v>
      </x:c>
      <x:c r="I1" s="65" t="str">
        <x:v>Email Templates</x:v>
      </x:c>
      <x:c r="J1" s="65" t="str">
        <x:v>Email Templates</x:v>
      </x:c>
      <x:c r="K1" s="65" t="str">
        <x:v>Email Templates</x:v>
      </x:c>
      <x:c r="L1" s="65" t="str">
        <x:v>Email Templates</x:v>
      </x:c>
      <x:c r="M1" s="65" t="str">
        <x:v>Email Templates</x:v>
      </x:c>
      <x:c r="N1" s="65" t="str">
        <x:v>Email Templates</x:v>
      </x:c>
    </x:row>
    <x:row r="2" ht="30" customHeight="1">
      <x:c r="A2" s="59" t="str">
        <x:v>Final B2B copy in Austrian German. Use only after permission or another reviewed lawful route; personalise every bracketed field.</x:v>
      </x:c>
      <x:c r="B2" s="59" t="str">
        <x:v>Final B2B copy in Austrian German. Use only after permission or another reviewed lawful route; personalise every bracketed field.</x:v>
      </x:c>
      <x:c r="C2" s="59" t="str">
        <x:v>Final B2B copy in Austrian German. Use only after permission or another reviewed lawful route; personalise every bracketed field.</x:v>
      </x:c>
      <x:c r="D2" s="59" t="str">
        <x:v>Final B2B copy in Austrian German. Use only after permission or another reviewed lawful route; personalise every bracketed field.</x:v>
      </x:c>
      <x:c r="E2" s="59" t="str">
        <x:v>Final B2B copy in Austrian German. Use only after permission or another reviewed lawful route; personalise every bracketed field.</x:v>
      </x:c>
      <x:c r="F2" s="59" t="str">
        <x:v>Final B2B copy in Austrian German. Use only after permission or another reviewed lawful route; personalise every bracketed field.</x:v>
      </x:c>
      <x:c r="G2" s="59" t="str">
        <x:v>Final B2B copy in Austrian German. Use only after permission or another reviewed lawful route; personalise every bracketed field.</x:v>
      </x:c>
      <x:c r="H2" s="59" t="str">
        <x:v>Final B2B copy in Austrian German. Use only after permission or another reviewed lawful route; personalise every bracketed field.</x:v>
      </x:c>
      <x:c r="I2" s="59" t="str">
        <x:v>Final B2B copy in Austrian German. Use only after permission or another reviewed lawful route; personalise every bracketed field.</x:v>
      </x:c>
      <x:c r="J2" s="59" t="str">
        <x:v>Final B2B copy in Austrian German. Use only after permission or another reviewed lawful route; personalise every bracketed field.</x:v>
      </x:c>
      <x:c r="K2" s="59" t="str">
        <x:v>Final B2B copy in Austrian German. Use only after permission or another reviewed lawful route; personalise every bracketed field.</x:v>
      </x:c>
      <x:c r="L2" s="59" t="str">
        <x:v>Final B2B copy in Austrian German. Use only after permission or another reviewed lawful route; personalise every bracketed field.</x:v>
      </x:c>
      <x:c r="M2" s="59" t="str">
        <x:v>Final B2B copy in Austrian German. Use only after permission or another reviewed lawful route; personalise every bracketed field.</x:v>
      </x:c>
      <x:c r="N2" s="59" t="str">
        <x:v>Final B2B copy in Austrian German. Use only after permission or another reviewed lawful route; personalise every bracketed field.</x:v>
      </x:c>
    </x:row>
    <x:row r="3">
      <x:c r="A3" s="60"/>
      <x:c r="B3" s="60"/>
      <x:c r="C3" s="60"/>
      <x:c r="D3" s="60"/>
      <x:c r="E3" s="60"/>
      <x:c r="F3" s="60"/>
      <x:c r="G3" s="60"/>
      <x:c r="H3" s="60"/>
      <x:c r="I3" s="60"/>
      <x:c r="J3" s="60"/>
      <x:c r="K3" s="60"/>
      <x:c r="L3" s="60"/>
      <x:c r="M3" s="60"/>
      <x:c r="N3" s="60"/>
    </x:row>
    <x:row r="4" ht="24" customHeight="1">
      <x:c r="A4" s="80" t="str">
        <x:v>FINAL — MANAGED PROGRAMME-MAP PILOT</x:v>
      </x:c>
      <x:c r="B4" s="80" t="str">
        <x:v>FINAL — MANAGED PROGRAMME-MAP PILOT</x:v>
      </x:c>
      <x:c r="C4" s="80" t="str">
        <x:v>FINAL — MANAGED PROGRAMME-MAP PILOT</x:v>
      </x:c>
      <x:c r="D4" s="80" t="str">
        <x:v>FINAL — MANAGED PROGRAMME-MAP PILOT</x:v>
      </x:c>
      <x:c r="E4" s="80" t="str">
        <x:v>FINAL — MANAGED PROGRAMME-MAP PILOT</x:v>
      </x:c>
      <x:c r="F4" s="80" t="str">
        <x:v>FINAL — MANAGED PROGRAMME-MAP PILOT</x:v>
      </x:c>
      <x:c r="G4" s="80" t="str">
        <x:v>FINAL — MANAGED PROGRAMME-MAP PILOT</x:v>
      </x:c>
      <x:c r="H4" s="80" t="str">
        <x:v>FINAL — MANAGED PROGRAMME-MAP PILOT</x:v>
      </x:c>
      <x:c r="I4" s="80" t="str">
        <x:v>FINAL — MANAGED PROGRAMME-MAP PILOT</x:v>
      </x:c>
      <x:c r="J4" s="80" t="str">
        <x:v>FINAL — MANAGED PROGRAMME-MAP PILOT</x:v>
      </x:c>
      <x:c r="K4" s="80" t="str">
        <x:v>FINAL — MANAGED PROGRAMME-MAP PILOT</x:v>
      </x:c>
      <x:c r="L4" s="80" t="str">
        <x:v>FINAL — MANAGED PROGRAMME-MAP PILOT</x:v>
      </x:c>
      <x:c r="M4" s="80" t="str">
        <x:v>FINAL — MANAGED PROGRAMME-MAP PILOT</x:v>
      </x:c>
      <x:c r="N4" s="80" t="str">
        <x:v>FINAL — MANAGED PROGRAMME-MAP PILOT</x:v>
      </x:c>
    </x:row>
    <x:row r="5">
      <x:c r="A5" s="62" t="str">
        <x:v>Subject A</x:v>
      </x:c>
      <x:c r="B5" s="62" t="str">
        <x:v>Eine gehostete Programmkarte für [Veranstaltung] — Pilot mit Okolo</x:v>
      </x:c>
      <x:c r="C5" s="62"/>
      <x:c r="D5" s="62"/>
      <x:c r="E5" s="62"/>
      <x:c r="F5" s="62"/>
      <x:c r="G5" s="62"/>
      <x:c r="H5" s="62"/>
      <x:c r="I5" s="62"/>
      <x:c r="J5" s="62"/>
      <x:c r="K5" s="62"/>
      <x:c r="L5" s="62"/>
      <x:c r="M5" s="62"/>
      <x:c r="N5" s="62"/>
    </x:row>
    <x:row r="6">
      <x:c r="A6" s="62" t="str">
        <x:v>Subject B</x:v>
      </x:c>
      <x:c r="B6" s="62" t="str">
        <x:v>[Veranstaltung] auf einer interaktiven Karte</x:v>
      </x:c>
      <x:c r="C6" s="62"/>
      <x:c r="D6" s="62"/>
      <x:c r="E6" s="62"/>
      <x:c r="F6" s="62"/>
      <x:c r="G6" s="62"/>
      <x:c r="H6" s="62"/>
      <x:c r="I6" s="62"/>
      <x:c r="J6" s="62"/>
      <x:c r="K6" s="62"/>
      <x:c r="L6" s="62"/>
      <x:c r="M6" s="62"/>
      <x:c r="N6" s="62"/>
    </x:row>
    <x:row r="7">
      <x:c r="A7" s="62" t="str">
        <x:v>Subject C</x:v>
      </x:c>
      <x:c r="B7" s="62" t="str">
        <x:v>Pilotidee für Programm, Spielorte und Besucherorientierung</x:v>
      </x:c>
      <x:c r="C7" s="62"/>
      <x:c r="D7" s="62"/>
      <x:c r="E7" s="62"/>
      <x:c r="F7" s="62"/>
      <x:c r="G7" s="62"/>
      <x:c r="H7" s="62"/>
      <x:c r="I7" s="62"/>
      <x:c r="J7" s="62"/>
      <x:c r="K7" s="62"/>
      <x:c r="L7" s="62"/>
      <x:c r="M7" s="62"/>
      <x:c r="N7" s="62"/>
    </x:row>
    <x:row r="8">
      <x:c r="A8" s="60"/>
      <x:c r="B8" s="60"/>
      <x:c r="C8" s="60"/>
      <x:c r="D8" s="60"/>
      <x:c r="E8" s="60"/>
      <x:c r="F8" s="60"/>
      <x:c r="G8" s="60"/>
      <x:c r="H8" s="60"/>
      <x:c r="I8" s="60"/>
      <x:c r="J8" s="60"/>
      <x:c r="K8" s="60"/>
      <x:c r="L8" s="60"/>
      <x:c r="M8" s="60"/>
      <x:c r="N8" s="60"/>
    </x:row>
    <x:row r="9">
      <x:c r="A9" s="70"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9" s="71"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9" s="72"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0">
      <x:c r="A10"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0"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1">
      <x:c r="A11"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1"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2">
      <x:c r="A12"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2"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3">
      <x:c r="A13"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3"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4">
      <x:c r="A14"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4"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4"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5">
      <x:c r="A15"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5"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5"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6">
      <x:c r="A16"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6"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6"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7">
      <x:c r="A17"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7"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7"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8">
      <x:c r="A18"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8"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8"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19">
      <x:c r="A19"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19"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19"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20">
      <x:c r="A20"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20"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20"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21">
      <x:c r="A21"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21"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21"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22">
      <x:c r="A22"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22"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22"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23">
      <x:c r="A23" s="73"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23" s="74"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23" s="75"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24">
      <x:c r="A24" s="76"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B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C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D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E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F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G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H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I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J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K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L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M24" s="77"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c r="N24" s="78" t="str">
        <x:v>Guten Tag [Frau/Herr Nachname],
bei [Veranstaltung] müssen Besucher:innen viele Programmpunkte, Zeiten und Spielorte schnell erfassen können. Genau dafür haben wir mit Okolo ein map-first Veranstaltungsprodukt entwickelt.
Für ausgewählte Partner bieten wir einen klar begrenzten, von uns betreuten Pilot an: eine eigene mobile Programmkarte mit Filtern, Spielorten, aktuellen Hinweisen und direkten Links zu Ihren Originalseiten. Wir übernehmen die strukturierte Datenaufbereitung, Einrichtung, Hosting und Aktualisierung; Sie behalten die Hoheit über Programm und Quellen. Die Nutzung und ausgehenden Weiterleitungen können wir transparent und mit klar ausgewiesenem Zeitraum berichten.
Interaktives, ausdrücklich fiktives Produktbeispiel:
https://www.okolo.events/partners/demo
Partnerübersicht:
https://www.okolo.events/partners
Im Anhang sehen Sie drei Screenshots des Angebots, der Demo und der live betriebenen Okolo-Karte.
Wäre ein 20-minütiger Austausch sinnvoll? Wenn das grundsätzlich interessant ist, sende ich Ihnen gerne vorab eine einseitige, auf [Veranstaltung] zugeschnittene Pilotskizze mit Umfang, Zeitplan und benötigten Daten.
Freundliche Grüße
Georgi Kostov
Okolo — Veranstaltungen in deiner Nähe
https://www.okolo.events</x:v>
      </x:c>
    </x:row>
    <x:row r="25">
      <x:c r="A25" s="60"/>
      <x:c r="B25" s="60"/>
      <x:c r="C25" s="60"/>
      <x:c r="D25" s="60"/>
      <x:c r="E25" s="60"/>
      <x:c r="F25" s="60"/>
      <x:c r="G25" s="60"/>
      <x:c r="H25" s="60"/>
      <x:c r="I25" s="60"/>
      <x:c r="J25" s="60"/>
      <x:c r="K25" s="60"/>
      <x:c r="L25" s="60"/>
      <x:c r="M25" s="60"/>
      <x:c r="N25" s="60"/>
    </x:row>
    <x:row r="26" ht="24" customHeight="1">
      <x:c r="A26" s="80" t="str">
        <x:v>FINAL — DATA / DISTRIBUTION PARTNERSHIP</x:v>
      </x:c>
      <x:c r="B26" s="80" t="str">
        <x:v>FINAL — DATA / DISTRIBUTION PARTNERSHIP</x:v>
      </x:c>
      <x:c r="C26" s="80" t="str">
        <x:v>FINAL — DATA / DISTRIBUTION PARTNERSHIP</x:v>
      </x:c>
      <x:c r="D26" s="80" t="str">
        <x:v>FINAL — DATA / DISTRIBUTION PARTNERSHIP</x:v>
      </x:c>
      <x:c r="E26" s="80" t="str">
        <x:v>FINAL — DATA / DISTRIBUTION PARTNERSHIP</x:v>
      </x:c>
      <x:c r="F26" s="80" t="str">
        <x:v>FINAL — DATA / DISTRIBUTION PARTNERSHIP</x:v>
      </x:c>
      <x:c r="G26" s="80" t="str">
        <x:v>FINAL — DATA / DISTRIBUTION PARTNERSHIP</x:v>
      </x:c>
      <x:c r="H26" s="80" t="str">
        <x:v>FINAL — DATA / DISTRIBUTION PARTNERSHIP</x:v>
      </x:c>
      <x:c r="I26" s="80" t="str">
        <x:v>FINAL — DATA / DISTRIBUTION PARTNERSHIP</x:v>
      </x:c>
      <x:c r="J26" s="80" t="str">
        <x:v>FINAL — DATA / DISTRIBUTION PARTNERSHIP</x:v>
      </x:c>
      <x:c r="K26" s="80" t="str">
        <x:v>FINAL — DATA / DISTRIBUTION PARTNERSHIP</x:v>
      </x:c>
      <x:c r="L26" s="80" t="str">
        <x:v>FINAL — DATA / DISTRIBUTION PARTNERSHIP</x:v>
      </x:c>
      <x:c r="M26" s="80" t="str">
        <x:v>FINAL — DATA / DISTRIBUTION PARTNERSHIP</x:v>
      </x:c>
      <x:c r="N26" s="80" t="str">
        <x:v>FINAL — DATA / DISTRIBUTION PARTNERSHIP</x:v>
      </x:c>
    </x:row>
    <x:row r="27">
      <x:c r="A27" s="62" t="str">
        <x:v>Subject: Geprüfte Veranstaltungsdaten mit Quellenlink — Austausch mit Okolo</x:v>
      </x:c>
      <x:c r="B27" s="62" t="str">
        <x:v>Subject: Geprüfte Veranstaltungsdaten mit Quellenlink — Austausch mit Okolo</x:v>
      </x:c>
      <x:c r="C27" s="62" t="str">
        <x:v>Subject: Geprüfte Veranstaltungsdaten mit Quellenlink — Austausch mit Okolo</x:v>
      </x:c>
      <x:c r="D27" s="62" t="str">
        <x:v>Subject: Geprüfte Veranstaltungsdaten mit Quellenlink — Austausch mit Okolo</x:v>
      </x:c>
      <x:c r="E27" s="62" t="str">
        <x:v>Subject: Geprüfte Veranstaltungsdaten mit Quellenlink — Austausch mit Okolo</x:v>
      </x:c>
      <x:c r="F27" s="62" t="str">
        <x:v>Subject: Geprüfte Veranstaltungsdaten mit Quellenlink — Austausch mit Okolo</x:v>
      </x:c>
      <x:c r="G27" s="62" t="str">
        <x:v>Subject: Geprüfte Veranstaltungsdaten mit Quellenlink — Austausch mit Okolo</x:v>
      </x:c>
      <x:c r="H27" s="62" t="str">
        <x:v>Subject: Geprüfte Veranstaltungsdaten mit Quellenlink — Austausch mit Okolo</x:v>
      </x:c>
      <x:c r="I27" s="62" t="str">
        <x:v>Subject: Geprüfte Veranstaltungsdaten mit Quellenlink — Austausch mit Okolo</x:v>
      </x:c>
      <x:c r="J27" s="62" t="str">
        <x:v>Subject: Geprüfte Veranstaltungsdaten mit Quellenlink — Austausch mit Okolo</x:v>
      </x:c>
      <x:c r="K27" s="62" t="str">
        <x:v>Subject: Geprüfte Veranstaltungsdaten mit Quellenlink — Austausch mit Okolo</x:v>
      </x:c>
      <x:c r="L27" s="62" t="str">
        <x:v>Subject: Geprüfte Veranstaltungsdaten mit Quellenlink — Austausch mit Okolo</x:v>
      </x:c>
      <x:c r="M27" s="62" t="str">
        <x:v>Subject: Geprüfte Veranstaltungsdaten mit Quellenlink — Austausch mit Okolo</x:v>
      </x:c>
      <x:c r="N27" s="62" t="str">
        <x:v>Subject: Geprüfte Veranstaltungsdaten mit Quellenlink — Austausch mit Okolo</x:v>
      </x:c>
    </x:row>
    <x:row r="28">
      <x:c r="A28" s="60"/>
      <x:c r="B28" s="60"/>
      <x:c r="C28" s="60"/>
      <x:c r="D28" s="60"/>
      <x:c r="E28" s="60"/>
      <x:c r="F28" s="60"/>
      <x:c r="G28" s="60"/>
      <x:c r="H28" s="60"/>
      <x:c r="I28" s="60"/>
      <x:c r="J28" s="60"/>
      <x:c r="K28" s="60"/>
      <x:c r="L28" s="60"/>
      <x:c r="M28" s="60"/>
      <x:c r="N28" s="60"/>
    </x:row>
    <x:row r="29">
      <x:c r="A29" s="70"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29" s="71"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29" s="72"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0">
      <x:c r="A30"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0"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0"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1">
      <x:c r="A31"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1"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1"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2">
      <x:c r="A32"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2"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2"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3">
      <x:c r="A33"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3"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3"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4">
      <x:c r="A34"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4"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4"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5">
      <x:c r="A35"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5"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5"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6">
      <x:c r="A36"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6"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6"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7">
      <x:c r="A37"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7"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7"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8">
      <x:c r="A38"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8"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8"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39">
      <x:c r="A39" s="73"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39" s="74"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39" s="75"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40">
      <x:c r="A40" s="76"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B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C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D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E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F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G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H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I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J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K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L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M40" s="77"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c r="N40" s="78" t="str">
        <x:v>Guten Tag [Frau/Herr Nachname],
Okolo ist eine kartenbasierte Veranstaltungsentdeckung mit besonderem Fokus auf Familien und regionale Angebote. Wir indexieren ausschließlich Veranstaltungsfakten, verfassen eigene Kurzbeschreibungen und verlinken Besucher:innen immer zur Originalquelle.
Für [Organisation] sehen wir eine mögliche Daten- und Distributionspartnerschaft: ein abgestimmter, autorisierter Austausch von Veranstaltungsdaten mit klarer Quellenkennzeichnung, Aktualisierung, Korrekturweg und messbaren Weiterleitungen. Es geht ausdrücklich nicht um das Kopieren redaktioneller Texte oder Bilder.
Die live Plattform:
https://www.okolo.events
Wäre ein kurzer Austausch mit der für Datenprodukte, Digitales oder Partnerschaften zuständigen Person sinnvoll? Gern senden wir vorab eine technische und rechtliche Skizze für einen kleinen regionalen Pilot.
Freundliche Grüße
Georgi Kostov
Okolo
https://www.okolo.events</x:v>
      </x:c>
    </x:row>
    <x:row r="41">
      <x:c r="A41" s="60"/>
      <x:c r="B41" s="60"/>
      <x:c r="C41" s="60"/>
      <x:c r="D41" s="60"/>
      <x:c r="E41" s="60"/>
      <x:c r="F41" s="60"/>
      <x:c r="G41" s="60"/>
      <x:c r="H41" s="60"/>
      <x:c r="I41" s="60"/>
      <x:c r="J41" s="60"/>
      <x:c r="K41" s="60"/>
      <x:c r="L41" s="60"/>
      <x:c r="M41" s="60"/>
      <x:c r="N41" s="60"/>
    </x:row>
    <x:row r="42" ht="24" customHeight="1">
      <x:c r="A42" s="80" t="str">
        <x:v>PERSONALISATION AND ATTACHMENT CHECK</x:v>
      </x:c>
      <x:c r="B42" s="80" t="str">
        <x:v>PERSONALISATION AND ATTACHMENT CHECK</x:v>
      </x:c>
      <x:c r="C42" s="80" t="str">
        <x:v>PERSONALISATION AND ATTACHMENT CHECK</x:v>
      </x:c>
      <x:c r="D42" s="80" t="str">
        <x:v>PERSONALISATION AND ATTACHMENT CHECK</x:v>
      </x:c>
      <x:c r="E42" s="80" t="str">
        <x:v>PERSONALISATION AND ATTACHMENT CHECK</x:v>
      </x:c>
      <x:c r="F42" s="80" t="str">
        <x:v>PERSONALISATION AND ATTACHMENT CHECK</x:v>
      </x:c>
      <x:c r="G42" s="80" t="str">
        <x:v>PERSONALISATION AND ATTACHMENT CHECK</x:v>
      </x:c>
      <x:c r="H42" s="80" t="str">
        <x:v>PERSONALISATION AND ATTACHMENT CHECK</x:v>
      </x:c>
      <x:c r="I42" s="80" t="str">
        <x:v>PERSONALISATION AND ATTACHMENT CHECK</x:v>
      </x:c>
      <x:c r="J42" s="80" t="str">
        <x:v>PERSONALISATION AND ATTACHMENT CHECK</x:v>
      </x:c>
      <x:c r="K42" s="80" t="str">
        <x:v>PERSONALISATION AND ATTACHMENT CHECK</x:v>
      </x:c>
      <x:c r="L42" s="80" t="str">
        <x:v>PERSONALISATION AND ATTACHMENT CHECK</x:v>
      </x:c>
      <x:c r="M42" s="80" t="str">
        <x:v>PERSONALISATION AND ATTACHMENT CHECK</x:v>
      </x:c>
      <x:c r="N42" s="80" t="str">
        <x:v>PERSONALISATION AND ATTACHMENT CHECK</x:v>
      </x:c>
    </x:row>
    <x:row r="43" ht="32" customHeight="1">
      <x:c r="A43" s="79" t="str">
        <x:v>Check</x:v>
      </x:c>
      <x:c r="B43" s="79" t="str">
        <x:v>Required</x:v>
      </x:c>
      <x:c r="C43" s="79" t="str">
        <x:v>Example</x:v>
      </x:c>
      <x:c r="D43" s="79" t="str">
        <x:v>Control</x:v>
      </x:c>
      <x:c r="E43" s="60"/>
      <x:c r="F43" s="60"/>
      <x:c r="G43" s="60"/>
      <x:c r="H43" s="60"/>
      <x:c r="I43" s="60"/>
      <x:c r="J43" s="60"/>
      <x:c r="K43" s="60"/>
      <x:c r="L43" s="60"/>
      <x:c r="M43" s="60"/>
      <x:c r="N43" s="60"/>
    </x:row>
    <x:row r="44">
      <x:c r="A44" s="62" t="str">
        <x:v>Permission / route</x:v>
      </x:c>
      <x:c r="B44" s="62" t="str">
        <x:v>Yes</x:v>
      </x:c>
      <x:c r="C44" s="62" t="str">
        <x:v>Warm introduction or explicit partnership channel</x:v>
      </x:c>
      <x:c r="D44" s="62" t="str">
        <x:v>Document date and scope</x:v>
      </x:c>
      <x:c r="E44" s="60"/>
      <x:c r="F44" s="60"/>
      <x:c r="G44" s="60"/>
      <x:c r="H44" s="60"/>
      <x:c r="I44" s="60"/>
      <x:c r="J44" s="60"/>
      <x:c r="K44" s="60"/>
      <x:c r="L44" s="60"/>
      <x:c r="M44" s="60"/>
      <x:c r="N44" s="60"/>
    </x:row>
    <x:row r="45">
      <x:c r="A45" s="62" t="str">
        <x:v>Named organisation and event</x:v>
      </x:c>
      <x:c r="B45" s="62" t="str">
        <x:v>Yes</x:v>
      </x:c>
      <x:c r="C45" s="62" t="str">
        <x:v>Pflasterspektakel Linz</x:v>
      </x:c>
      <x:c r="D45" s="62" t="str">
        <x:v>No mail merge without review</x:v>
      </x:c>
      <x:c r="E45" s="60"/>
      <x:c r="F45" s="60"/>
      <x:c r="G45" s="60"/>
      <x:c r="H45" s="60"/>
      <x:c r="I45" s="60"/>
      <x:c r="J45" s="60"/>
      <x:c r="K45" s="60"/>
      <x:c r="L45" s="60"/>
      <x:c r="M45" s="60"/>
      <x:c r="N45" s="60"/>
    </x:row>
    <x:row r="46">
      <x:c r="A46" s="62" t="str">
        <x:v>One verified personalisation fact</x:v>
      </x:c>
      <x:c r="B46" s="62" t="str">
        <x:v>Yes</x:v>
      </x:c>
      <x:c r="C46" s="62" t="str">
        <x:v>Programme across public city-centre locations</x:v>
      </x:c>
      <x:c r="D46" s="62" t="str">
        <x:v>Link to official source</x:v>
      </x:c>
      <x:c r="E46" s="60"/>
      <x:c r="F46" s="60"/>
      <x:c r="G46" s="60"/>
      <x:c r="H46" s="60"/>
      <x:c r="I46" s="60"/>
      <x:c r="J46" s="60"/>
      <x:c r="K46" s="60"/>
      <x:c r="L46" s="60"/>
      <x:c r="M46" s="60"/>
      <x:c r="N46" s="60"/>
    </x:row>
    <x:row r="47">
      <x:c r="A47" s="62" t="str">
        <x:v>Screenshot 1</x:v>
      </x:c>
      <x:c r="B47" s="62" t="str">
        <x:v>Yes</x:v>
      </x:c>
      <x:c r="C47" s="62" t="str">
        <x:v>04-partner-offer.png</x:v>
      </x:c>
      <x:c r="D47" s="62" t="str">
        <x:v>Lead image</x:v>
      </x:c>
      <x:c r="E47" s="60"/>
      <x:c r="F47" s="60"/>
      <x:c r="G47" s="60"/>
      <x:c r="H47" s="60"/>
      <x:c r="I47" s="60"/>
      <x:c r="J47" s="60"/>
      <x:c r="K47" s="60"/>
      <x:c r="L47" s="60"/>
      <x:c r="M47" s="60"/>
      <x:c r="N47" s="60"/>
    </x:row>
    <x:row r="48">
      <x:c r="A48" s="62" t="str">
        <x:v>Screenshot 2</x:v>
      </x:c>
      <x:c r="B48" s="62" t="str">
        <x:v>Yes</x:v>
      </x:c>
      <x:c r="C48" s="62" t="str">
        <x:v>02-partner-festival-demo.png</x:v>
      </x:c>
      <x:c r="D48" s="62" t="str">
        <x:v>Label fictional demo</x:v>
      </x:c>
      <x:c r="E48" s="60"/>
      <x:c r="F48" s="60"/>
      <x:c r="G48" s="60"/>
      <x:c r="H48" s="60"/>
      <x:c r="I48" s="60"/>
      <x:c r="J48" s="60"/>
      <x:c r="K48" s="60"/>
      <x:c r="L48" s="60"/>
      <x:c r="M48" s="60"/>
      <x:c r="N48" s="60"/>
    </x:row>
    <x:row r="49">
      <x:c r="A49" s="62" t="str">
        <x:v>Screenshot 3</x:v>
      </x:c>
      <x:c r="B49" s="62" t="str">
        <x:v>Optional</x:v>
      </x:c>
      <x:c r="C49" s="62" t="str">
        <x:v>01-okolo-map.png</x:v>
      </x:c>
      <x:c r="D49" s="62" t="str">
        <x:v>Live platform context</x:v>
      </x:c>
      <x:c r="E49" s="60"/>
      <x:c r="F49" s="60"/>
      <x:c r="G49" s="60"/>
      <x:c r="H49" s="60"/>
      <x:c r="I49" s="60"/>
      <x:c r="J49" s="60"/>
      <x:c r="K49" s="60"/>
      <x:c r="L49" s="60"/>
      <x:c r="M49" s="60"/>
      <x:c r="N49" s="60"/>
    </x:row>
    <x:row r="50">
      <x:c r="A50" s="62" t="str">
        <x:v>Account screenshot</x:v>
      </x:c>
      <x:c r="B50" s="62" t="str">
        <x:v>Usually no</x:v>
      </x:c>
      <x:c r="C50" s="62" t="str">
        <x:v>03-account-sign-in.png</x:v>
      </x:c>
      <x:c r="D50" s="62" t="str">
        <x:v>Appendix only; not organiser tooling</x:v>
      </x:c>
      <x:c r="E50" s="60"/>
      <x:c r="F50" s="60"/>
      <x:c r="G50" s="60"/>
      <x:c r="H50" s="60"/>
      <x:c r="I50" s="60"/>
      <x:c r="J50" s="60"/>
      <x:c r="K50" s="60"/>
      <x:c r="L50" s="60"/>
      <x:c r="M50" s="60"/>
      <x:c r="N50" s="60"/>
    </x:row>
  </x:sheetData>
  <x:mergeCells>
    <x:mergeCell ref="A1:N1"/>
    <x:mergeCell ref="A2:N2"/>
    <x:mergeCell ref="A4:N4"/>
    <x:mergeCell ref="B5:N5"/>
    <x:mergeCell ref="B6:N6"/>
    <x:mergeCell ref="B7:N7"/>
    <x:mergeCell ref="A9:N24"/>
    <x:mergeCell ref="A26:N26"/>
    <x:mergeCell ref="A27:N27"/>
    <x:mergeCell ref="A29:N40"/>
    <x:mergeCell ref="A42:N4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44" hidden="0" customWidth="1"/>
    <x:col min="3" max="3" width="42" hidden="0" customWidth="1"/>
    <x:col min="4" max="4" width="24" hidden="0" customWidth="1"/>
    <x:col min="5" max="5" width="28" hidden="0" customWidth="1"/>
    <x:col min="6" max="6" width="40" hidden="0" customWidth="1"/>
  </x:cols>
  <x:sheetData>
    <x:row r="1" ht="34" customHeight="1">
      <x:c r="A1" s="65" t="str">
        <x:v>Website &amp; Sales Audit</x:v>
      </x:c>
      <x:c r="B1" s="65" t="str">
        <x:v>Website &amp; Sales Audit</x:v>
      </x:c>
      <x:c r="C1" s="65" t="str">
        <x:v>Website &amp; Sales Audit</x:v>
      </x:c>
      <x:c r="D1" s="65" t="str">
        <x:v>Website &amp; Sales Audit</x:v>
      </x:c>
      <x:c r="E1" s="65" t="str">
        <x:v>Website &amp; Sales Audit</x:v>
      </x:c>
      <x:c r="F1" s="65" t="str">
        <x:v>Website &amp; Sales Audit</x:v>
      </x:c>
      <x:c r="G1" s="65" t="str">
        <x:v>Website &amp; Sales Audit</x:v>
      </x:c>
      <x:c r="H1" s="65" t="str">
        <x:v>Website &amp; Sales Audit</x:v>
      </x:c>
      <x:c r="I1" s="65" t="str">
        <x:v>Website &amp; Sales Audit</x:v>
      </x:c>
      <x:c r="J1" s="65" t="str">
        <x:v>Website &amp; Sales Audit</x:v>
      </x:c>
      <x:c r="K1" s="65" t="str">
        <x:v>Website &amp; Sales Audit</x:v>
      </x:c>
      <x:c r="L1" s="65" t="str">
        <x:v>Website &amp; Sales Audit</x:v>
      </x:c>
      <x:c r="M1" s="65" t="str">
        <x:v>Website &amp; Sales Audit</x:v>
      </x:c>
      <x:c r="N1" s="65" t="str">
        <x:v>Website &amp; Sales Audit</x:v>
      </x:c>
    </x:row>
    <x:row r="2" ht="30" customHeight="1">
      <x:c r="A2" s="59" t="str">
        <x:v>What is live, what supports a B2B pitch, and what must remain outside current claims.</x:v>
      </x:c>
      <x:c r="B2" s="59" t="str">
        <x:v>What is live, what supports a B2B pitch, and what must remain outside current claims.</x:v>
      </x:c>
      <x:c r="C2" s="59" t="str">
        <x:v>What is live, what supports a B2B pitch, and what must remain outside current claims.</x:v>
      </x:c>
      <x:c r="D2" s="59" t="str">
        <x:v>What is live, what supports a B2B pitch, and what must remain outside current claims.</x:v>
      </x:c>
      <x:c r="E2" s="59" t="str">
        <x:v>What is live, what supports a B2B pitch, and what must remain outside current claims.</x:v>
      </x:c>
      <x:c r="F2" s="59" t="str">
        <x:v>What is live, what supports a B2B pitch, and what must remain outside current claims.</x:v>
      </x:c>
      <x:c r="G2" s="59" t="str">
        <x:v>What is live, what supports a B2B pitch, and what must remain outside current claims.</x:v>
      </x:c>
      <x:c r="H2" s="59" t="str">
        <x:v>What is live, what supports a B2B pitch, and what must remain outside current claims.</x:v>
      </x:c>
      <x:c r="I2" s="59" t="str">
        <x:v>What is live, what supports a B2B pitch, and what must remain outside current claims.</x:v>
      </x:c>
      <x:c r="J2" s="59" t="str">
        <x:v>What is live, what supports a B2B pitch, and what must remain outside current claims.</x:v>
      </x:c>
      <x:c r="K2" s="59" t="str">
        <x:v>What is live, what supports a B2B pitch, and what must remain outside current claims.</x:v>
      </x:c>
      <x:c r="L2" s="59" t="str">
        <x:v>What is live, what supports a B2B pitch, and what must remain outside current claims.</x:v>
      </x:c>
      <x:c r="M2" s="59" t="str">
        <x:v>What is live, what supports a B2B pitch, and what must remain outside current claims.</x:v>
      </x:c>
      <x:c r="N2" s="59" t="str">
        <x:v>What is live, what supports a B2B pitch, and what must remain outside current claims.</x:v>
      </x:c>
    </x:row>
    <x:row r="3">
      <x:c r="A3" s="60"/>
      <x:c r="B3" s="60"/>
      <x:c r="C3" s="60"/>
      <x:c r="D3" s="60"/>
      <x:c r="E3" s="60"/>
      <x:c r="F3" s="60"/>
      <x:c r="G3" s="60"/>
      <x:c r="H3" s="60"/>
      <x:c r="I3" s="60"/>
      <x:c r="J3" s="60"/>
      <x:c r="K3" s="60"/>
      <x:c r="L3" s="60"/>
      <x:c r="M3" s="60"/>
      <x:c r="N3" s="60"/>
    </x:row>
    <x:row r="4" ht="58" customHeight="1">
      <x:c r="A4" s="79" t="str">
        <x:v>Area</x:v>
      </x:c>
      <x:c r="B4" s="79" t="str">
        <x:v>Live evidence</x:v>
      </x:c>
      <x:c r="C4" s="79" t="str">
        <x:v>B2B relevance</x:v>
      </x:c>
      <x:c r="D4" s="79" t="str">
        <x:v>Sales readiness</x:v>
      </x:c>
      <x:c r="E4" s="79" t="str">
        <x:v>Allowed claim</x:v>
      </x:c>
      <x:c r="F4" s="79" t="str">
        <x:v>Gap / next step</x:v>
      </x:c>
      <x:c r="G4" s="60"/>
      <x:c r="H4" s="60"/>
      <x:c r="I4" s="60"/>
      <x:c r="J4" s="60"/>
      <x:c r="K4" s="60"/>
      <x:c r="L4" s="60"/>
      <x:c r="M4" s="60"/>
      <x:c r="N4" s="60"/>
    </x:row>
    <x:row r="5" ht="58" customHeight="1">
      <x:c r="A5" s="62" t="str">
        <x:v>Live map</x:v>
      </x:c>
      <x:c r="B5" s="62" t="str">
        <x:v>Time, category, family, price, weather context, distance, map/list and search</x:v>
      </x:c>
      <x:c r="C5" s="62" t="str">
        <x:v>Core product proof</x:v>
      </x:c>
      <x:c r="D5" s="62" t="str">
        <x:v>Strong</x:v>
      </x:c>
      <x:c r="E5" s="62" t="str">
        <x:v>Map-first event discovery is live</x:v>
      </x:c>
      <x:c r="F5" s="62" t="str">
        <x:v>Use current screenshot and live link</x:v>
      </x:c>
      <x:c r="G5" s="60"/>
      <x:c r="H5" s="60"/>
      <x:c r="I5" s="60"/>
      <x:c r="J5" s="60"/>
      <x:c r="K5" s="60"/>
      <x:c r="L5" s="60"/>
      <x:c r="M5" s="60"/>
      <x:c r="N5" s="60"/>
    </x:row>
    <x:row r="6" ht="58" customHeight="1">
      <x:c r="A6" s="62" t="str">
        <x:v>Event detail</x:v>
      </x:c>
      <x:c r="B6" s="62" t="str">
        <x:v>Original summary, date, venue, map, nearby items and source link</x:v>
      </x:c>
      <x:c r="C6" s="62" t="str">
        <x:v>Trust and referral proof</x:v>
      </x:c>
      <x:c r="D6" s="62" t="str">
        <x:v>Strong</x:v>
      </x:c>
      <x:c r="E6" s="62" t="str">
        <x:v>Facts with direct source linkback</x:v>
      </x:c>
      <x:c r="F6" s="62" t="str">
        <x:v>Sample referral report after pilot</x:v>
      </x:c>
      <x:c r="G6" s="60"/>
      <x:c r="H6" s="60"/>
      <x:c r="I6" s="60"/>
      <x:c r="J6" s="60"/>
      <x:c r="K6" s="60"/>
      <x:c r="L6" s="60"/>
      <x:c r="M6" s="60"/>
      <x:c r="N6" s="60"/>
    </x:row>
    <x:row r="7" ht="58" customHeight="1">
      <x:c r="A7" s="62" t="str">
        <x:v>City discovery</x:v>
      </x:c>
      <x:c r="B7" s="62" t="str">
        <x:v>Searchable Linz inventory with structured filters</x:v>
      </x:c>
      <x:c r="C7" s="62" t="str">
        <x:v>SEO and regional coverage proof</x:v>
      </x:c>
      <x:c r="D7" s="62" t="str">
        <x:v>Strong</x:v>
      </x:c>
      <x:c r="E7" s="62" t="str">
        <x:v>Events can be discovered outside the map</x:v>
      </x:c>
      <x:c r="F7" s="62" t="str">
        <x:v>Avoid national traction claims</x:v>
      </x:c>
      <x:c r="G7" s="60"/>
      <x:c r="H7" s="60"/>
      <x:c r="I7" s="60"/>
      <x:c r="J7" s="60"/>
      <x:c r="K7" s="60"/>
      <x:c r="L7" s="60"/>
      <x:c r="M7" s="60"/>
      <x:c r="N7" s="60"/>
    </x:row>
    <x:row r="8" ht="58" customHeight="1">
      <x:c r="A8" s="62" t="str">
        <x:v>Weekend discovery</x:v>
      </x:c>
      <x:c r="B8" s="62" t="str">
        <x:v>Curated weekend ideas and newsletter call-to-action</x:v>
      </x:c>
      <x:c r="C8" s="62" t="str">
        <x:v>Retention/distribution surface</x:v>
      </x:c>
      <x:c r="D8" s="62" t="str">
        <x:v>Moderate</x:v>
      </x:c>
      <x:c r="E8" s="62" t="str">
        <x:v>A live discovery surface exists</x:v>
      </x:c>
      <x:c r="F8" s="62" t="str">
        <x:v>Measure four-weekend retention</x:v>
      </x:c>
      <x:c r="G8" s="60"/>
      <x:c r="H8" s="60"/>
      <x:c r="I8" s="60"/>
      <x:c r="J8" s="60"/>
      <x:c r="K8" s="60"/>
      <x:c r="L8" s="60"/>
      <x:c r="M8" s="60"/>
      <x:c r="N8" s="60"/>
    </x:row>
    <x:row r="9" ht="58" customHeight="1">
      <x:c r="A9" s="62" t="str">
        <x:v>Accounts</x:v>
      </x:c>
      <x:c r="B9" s="62" t="str">
        <x:v>Google and magic-link sign-in; saved items and submissions</x:v>
      </x:c>
      <x:c r="C9" s="62" t="str">
        <x:v>User retention and contribution</x:v>
      </x:c>
      <x:c r="D9" s="62" t="str">
        <x:v>Moderate</x:v>
      </x:c>
      <x:c r="E9" s="62" t="str">
        <x:v>Users can save and submit</x:v>
      </x:c>
      <x:c r="F9" s="62" t="str">
        <x:v>Not an organiser account or dashboard</x:v>
      </x:c>
      <x:c r="G9" s="60"/>
      <x:c r="H9" s="60"/>
      <x:c r="I9" s="60"/>
      <x:c r="J9" s="60"/>
      <x:c r="K9" s="60"/>
      <x:c r="L9" s="60"/>
      <x:c r="M9" s="60"/>
      <x:c r="N9" s="60"/>
    </x:row>
    <x:row r="10" ht="58" customHeight="1">
      <x:c r="A10" s="62" t="str">
        <x:v>Scanning / submission</x:v>
      </x:c>
      <x:c r="B10" s="62" t="str">
        <x:v>Paste URL, upload poster for extraction and confirmation, or manual entry</x:v>
      </x:c>
      <x:c r="C10" s="62" t="str">
        <x:v>Managed programme onboarding</x:v>
      </x:c>
      <x:c r="D10" s="62" t="str">
        <x:v>Moderate</x:v>
      </x:c>
      <x:c r="E10" s="62" t="str">
        <x:v>Okolo can assist structured onboarding</x:v>
      </x:c>
      <x:c r="F10" s="62" t="str">
        <x:v>Keep rights, validation and human confirmation explicit</x:v>
      </x:c>
      <x:c r="G10" s="60"/>
      <x:c r="H10" s="60"/>
      <x:c r="I10" s="60"/>
      <x:c r="J10" s="60"/>
      <x:c r="K10" s="60"/>
      <x:c r="L10" s="60"/>
      <x:c r="M10" s="60"/>
      <x:c r="N10" s="60"/>
    </x:row>
    <x:row r="11" ht="58" customHeight="1">
      <x:c r="A11" s="62" t="str">
        <x:v>Partner offer</x:v>
      </x:c>
      <x:c r="B11" s="62" t="str">
        <x:v>Dedicated URL, branded map, filters, highlights and referral measurement</x:v>
      </x:c>
      <x:c r="C11" s="62" t="str">
        <x:v>Primary commercial offer</x:v>
      </x:c>
      <x:c r="D11" s="62" t="str">
        <x:v>Strong for pilot</x:v>
      </x:c>
      <x:c r="E11" s="62" t="str">
        <x:v>A managed hosted-map pilot is available</x:v>
      </x:c>
      <x:c r="F11" s="62" t="str">
        <x:v>Publish scope and procurement block</x:v>
      </x:c>
      <x:c r="G11" s="60"/>
      <x:c r="H11" s="60"/>
      <x:c r="I11" s="60"/>
      <x:c r="J11" s="60"/>
      <x:c r="K11" s="60"/>
      <x:c r="L11" s="60"/>
      <x:c r="M11" s="60"/>
      <x:c r="N11" s="60"/>
    </x:row>
    <x:row r="12" ht="58" customHeight="1">
      <x:c r="A12" s="62" t="str">
        <x:v>Partner demo</x:v>
      </x:c>
      <x:c r="B12" s="62" t="str">
        <x:v>Interactive fictional festival with venues and programme</x:v>
      </x:c>
      <x:c r="C12" s="62" t="str">
        <x:v>Concrete product proof</x:v>
      </x:c>
      <x:c r="D12" s="62" t="str">
        <x:v>Strong if labelled</x:v>
      </x:c>
      <x:c r="E12" s="62" t="str">
        <x:v>Fictional product example</x:v>
      </x:c>
      <x:c r="F12" s="62" t="str">
        <x:v>Do not imply a customer or results</x:v>
      </x:c>
      <x:c r="G12" s="60"/>
      <x:c r="H12" s="60"/>
      <x:c r="I12" s="60"/>
      <x:c r="J12" s="60"/>
      <x:c r="K12" s="60"/>
      <x:c r="L12" s="60"/>
      <x:c r="M12" s="60"/>
      <x:c r="N12" s="60"/>
    </x:row>
    <x:row r="13" ht="58" customHeight="1">
      <x:c r="A13" s="62" t="str">
        <x:v>Newsletter</x:v>
      </x:c>
      <x:c r="B13" s="62" t="str">
        <x:v>Signup and weekly discovery positioning</x:v>
      </x:c>
      <x:c r="C13" s="62" t="str">
        <x:v>Potential distribution</x:v>
      </x:c>
      <x:c r="D13" s="62" t="str">
        <x:v>Early</x:v>
      </x:c>
      <x:c r="E13" s="62" t="str">
        <x:v>Newsletter surface exists</x:v>
      </x:c>
      <x:c r="F13" s="62" t="str">
        <x:v>No reach promise before measured proof</x:v>
      </x:c>
      <x:c r="G13" s="60"/>
      <x:c r="H13" s="60"/>
      <x:c r="I13" s="60"/>
      <x:c r="J13" s="60"/>
      <x:c r="K13" s="60"/>
      <x:c r="L13" s="60"/>
      <x:c r="M13" s="60"/>
      <x:c r="N13" s="60"/>
    </x:row>
    <x:row r="14" ht="58" customHeight="1">
      <x:c r="A14" s="62" t="str">
        <x:v>Language</x:v>
      </x:c>
      <x:c r="B14" s="62" t="str">
        <x:v>German and English interfaces</x:v>
      </x:c>
      <x:c r="C14" s="62" t="str">
        <x:v>Austrian and visitor usability</x:v>
      </x:c>
      <x:c r="D14" s="62" t="str">
        <x:v>Good</x:v>
      </x:c>
      <x:c r="E14" s="62" t="str">
        <x:v>Bilingual experience available</x:v>
      </x:c>
      <x:c r="F14" s="62" t="str">
        <x:v>Define translation scope per pilot</x:v>
      </x:c>
      <x:c r="G14" s="60"/>
      <x:c r="H14" s="60"/>
      <x:c r="I14" s="60"/>
      <x:c r="J14" s="60"/>
      <x:c r="K14" s="60"/>
      <x:c r="L14" s="60"/>
      <x:c r="M14" s="60"/>
      <x:c r="N14" s="60"/>
    </x:row>
    <x:row r="15" ht="58" customHeight="1">
      <x:c r="A15" s="62" t="str">
        <x:v>Analytics</x:v>
      </x:c>
      <x:c r="B15" s="62" t="str">
        <x:v>Aggregate usage and outbound-referral reporting is offered</x:v>
      </x:c>
      <x:c r="C15" s="62" t="str">
        <x:v>Pilot proof and iteration</x:v>
      </x:c>
      <x:c r="D15" s="62" t="str">
        <x:v>Conditional</x:v>
      </x:c>
      <x:c r="E15" s="62" t="str">
        <x:v>Report a defined period and caveats</x:v>
      </x:c>
      <x:c r="F15" s="62" t="str">
        <x:v>No ticket-sale attribution without integration</x:v>
      </x:c>
      <x:c r="G15" s="60"/>
      <x:c r="H15" s="60"/>
      <x:c r="I15" s="60"/>
      <x:c r="J15" s="60"/>
      <x:c r="K15" s="60"/>
      <x:c r="L15" s="60"/>
      <x:c r="M15" s="60"/>
      <x:c r="N15" s="60"/>
    </x:row>
    <x:row r="16" ht="58" customHeight="1">
      <x:c r="A16" s="60"/>
      <x:c r="B16" s="60"/>
      <x:c r="C16" s="60"/>
      <x:c r="D16" s="60"/>
      <x:c r="E16" s="60"/>
      <x:c r="F16" s="60"/>
      <x:c r="G16" s="60"/>
      <x:c r="H16" s="60"/>
      <x:c r="I16" s="60"/>
      <x:c r="J16" s="60"/>
      <x:c r="K16" s="60"/>
      <x:c r="L16" s="60"/>
      <x:c r="M16" s="60"/>
      <x:c r="N16" s="60"/>
    </x:row>
    <x:row r="17" ht="58" customHeight="1">
      <x:c r="A17" s="79" t="str">
        <x:v>Sales gap</x:v>
      </x:c>
      <x:c r="B17" s="79" t="str">
        <x:v>Why it matters</x:v>
      </x:c>
      <x:c r="C17" s="79" t="str">
        <x:v>Recommendation</x:v>
      </x:c>
      <x:c r="D17" s="79" t="str">
        <x:v>Decision owner</x:v>
      </x:c>
      <x:c r="E17" s="79" t="str">
        <x:v>Priority</x:v>
      </x:c>
      <x:c r="F17" s="60"/>
      <x:c r="G17" s="60"/>
      <x:c r="H17" s="60"/>
      <x:c r="I17" s="60"/>
      <x:c r="J17" s="60"/>
      <x:c r="K17" s="60"/>
      <x:c r="L17" s="60"/>
      <x:c r="M17" s="60"/>
      <x:c r="N17" s="60"/>
    </x:row>
    <x:row r="18" ht="58" customHeight="1">
      <x:c r="A18" s="62" t="str">
        <x:v>No real customer reference</x:v>
      </x:c>
      <x:c r="B18" s="62" t="str">
        <x:v>The demo cannot prove delivery or outcomes</x:v>
      </x:c>
      <x:c r="C18" s="62" t="str">
        <x:v>Run one bounded pilot and publish only with permission</x:v>
      </x:c>
      <x:c r="D18" s="62" t="str">
        <x:v>George + partner</x:v>
      </x:c>
      <x:c r="E18" s="62" t="str">
        <x:v>P1</x:v>
      </x:c>
      <x:c r="F18" s="60"/>
      <x:c r="G18" s="60"/>
      <x:c r="H18" s="60"/>
      <x:c r="I18" s="60"/>
      <x:c r="J18" s="60"/>
      <x:c r="K18" s="60"/>
      <x:c r="L18" s="60"/>
      <x:c r="M18" s="60"/>
      <x:c r="N18" s="60"/>
    </x:row>
    <x:row r="19" ht="58" customHeight="1">
      <x:c r="A19" s="62" t="str">
        <x:v>No pilot scope sheet</x:v>
      </x:c>
      <x:c r="B19" s="62" t="str">
        <x:v>Buyers need deliverables, timeline and responsibilities</x:v>
      </x:c>
      <x:c r="C19" s="62" t="str">
        <x:v>Create a one-page scope after pricing direction</x:v>
      </x:c>
      <x:c r="D19" s="62" t="str">
        <x:v>George</x:v>
      </x:c>
      <x:c r="E19" s="62" t="str">
        <x:v>P1</x:v>
      </x:c>
      <x:c r="F19" s="60"/>
      <x:c r="G19" s="60"/>
      <x:c r="H19" s="60"/>
      <x:c r="I19" s="60"/>
      <x:c r="J19" s="60"/>
      <x:c r="K19" s="60"/>
      <x:c r="L19" s="60"/>
      <x:c r="M19" s="60"/>
      <x:c r="N19" s="60"/>
    </x:row>
    <x:row r="20" ht="58" customHeight="1">
      <x:c r="A20" s="62" t="str">
        <x:v>No approved pricing</x:v>
      </x:c>
      <x:c r="B20" s="62" t="str">
        <x:v>A price cannot be invented in outreach</x:v>
      </x:c>
      <x:c r="C20" s="62" t="str">
        <x:v>Approve fixed, scoped or discovery-led model</x:v>
      </x:c>
      <x:c r="D20" s="62" t="str">
        <x:v>George</x:v>
      </x:c>
      <x:c r="E20" s="62" t="str">
        <x:v>P1</x:v>
      </x:c>
      <x:c r="F20" s="60"/>
      <x:c r="G20" s="60"/>
      <x:c r="H20" s="60"/>
      <x:c r="I20" s="60"/>
      <x:c r="J20" s="60"/>
      <x:c r="K20" s="60"/>
      <x:c r="L20" s="60"/>
      <x:c r="M20" s="60"/>
      <x:c r="N20" s="60"/>
    </x:row>
    <x:row r="21" ht="58" customHeight="1">
      <x:c r="A21" s="62" t="str">
        <x:v>No sample report</x:v>
      </x:c>
      <x:c r="B21" s="62" t="str">
        <x:v>Buyers cannot see measurement format</x:v>
      </x:c>
      <x:c r="C21" s="62" t="str">
        <x:v>Create an illustrative report labelled as such</x:v>
      </x:c>
      <x:c r="D21" s="62" t="str">
        <x:v>Okolo</x:v>
      </x:c>
      <x:c r="E21" s="62" t="str">
        <x:v>P2</x:v>
      </x:c>
      <x:c r="F21" s="60"/>
      <x:c r="G21" s="60"/>
      <x:c r="H21" s="60"/>
      <x:c r="I21" s="60"/>
      <x:c r="J21" s="60"/>
      <x:c r="K21" s="60"/>
      <x:c r="L21" s="60"/>
      <x:c r="M21" s="60"/>
      <x:c r="N21" s="60"/>
    </x:row>
    <x:row r="22" ht="58" customHeight="1">
      <x:c r="A22" s="62" t="str">
        <x:v>No procurement block</x:v>
      </x:c>
      <x:c r="B22" s="62" t="str">
        <x:v>Public and large buyers need legal and operating basics</x:v>
      </x:c>
      <x:c r="C22" s="62" t="str">
        <x:v>Add entity, billing, privacy, accessibility and support facts</x:v>
      </x:c>
      <x:c r="D22" s="62" t="str">
        <x:v>George</x:v>
      </x:c>
      <x:c r="E22" s="62" t="str">
        <x:v>P2</x:v>
      </x:c>
      <x:c r="F22" s="60"/>
      <x:c r="G22" s="60"/>
      <x:c r="H22" s="60"/>
      <x:c r="I22" s="60"/>
      <x:c r="J22" s="60"/>
      <x:c r="K22" s="60"/>
      <x:c r="L22" s="60"/>
      <x:c r="M22" s="60"/>
      <x:c r="N22" s="60"/>
    </x:row>
    <x:row r="23" ht="58" customHeight="1">
      <x:c r="A23" s="62" t="str">
        <x:v>No organiser dashboard</x:v>
      </x:c>
      <x:c r="B23" s="62" t="str">
        <x:v>Self-service language would mis-sell the product</x:v>
      </x:c>
      <x:c r="C23" s="62" t="str">
        <x:v>Keep offer managed until product scope is approved</x:v>
      </x:c>
      <x:c r="D23" s="62" t="str">
        <x:v>Product</x:v>
      </x:c>
      <x:c r="E23" s="62" t="str">
        <x:v>P1</x:v>
      </x:c>
      <x:c r="F23" s="60"/>
      <x:c r="G23" s="60"/>
      <x:c r="H23" s="60"/>
      <x:c r="I23" s="60"/>
      <x:c r="J23" s="60"/>
      <x:c r="K23" s="60"/>
      <x:c r="L23" s="60"/>
      <x:c r="M23" s="60"/>
      <x:c r="N23" s="60"/>
    </x:row>
    <x:row r="24" ht="58" customHeight="1">
      <x:c r="A24" s="62" t="str">
        <x:v>No national proof</x:v>
      </x:c>
      <x:c r="B24" s="62" t="str">
        <x:v>Broad reach claims would outrun the validation phase</x:v>
      </x:c>
      <x:c r="C24" s="62" t="str">
        <x:v>Use Linz proof and one-partner pilots only</x:v>
      </x:c>
      <x:c r="D24" s="62" t="str">
        <x:v>George</x:v>
      </x:c>
      <x:c r="E24" s="62" t="str">
        <x:v>P1</x:v>
      </x:c>
      <x:c r="F24" s="60"/>
      <x:c r="G24" s="60"/>
      <x:c r="H24" s="60"/>
      <x:c r="I24" s="60"/>
      <x:c r="J24" s="60"/>
      <x:c r="K24" s="60"/>
      <x:c r="L24" s="60"/>
      <x:c r="M24" s="60"/>
      <x:c r="N24" s="60"/>
    </x:row>
  </x:sheetData>
  <x:mergeCells>
    <x:mergeCell ref="A1:N1"/>
    <x:mergeCell ref="A2:N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46" hidden="0" customWidth="1"/>
    <x:col min="3" max="3" width="54" hidden="0" customWidth="1"/>
    <x:col min="4" max="4" width="18" hidden="0" customWidth="1"/>
    <x:col min="5" max="5" width="38" hidden="0" customWidth="1"/>
  </x:cols>
  <x:sheetData>
    <x:row r="1" ht="34" customHeight="1">
      <x:c r="A1" s="65" t="str">
        <x:v>Legal &amp; Source Controls</x:v>
      </x:c>
      <x:c r="B1" s="65" t="str">
        <x:v>Legal &amp; Source Controls</x:v>
      </x:c>
      <x:c r="C1" s="65" t="str">
        <x:v>Legal &amp; Source Controls</x:v>
      </x:c>
      <x:c r="D1" s="65" t="str">
        <x:v>Legal &amp; Source Controls</x:v>
      </x:c>
      <x:c r="E1" s="65" t="str">
        <x:v>Legal &amp; Source Controls</x:v>
      </x:c>
      <x:c r="F1" s="65" t="str">
        <x:v>Legal &amp; Source Controls</x:v>
      </x:c>
      <x:c r="G1" s="65" t="str">
        <x:v>Legal &amp; Source Controls</x:v>
      </x:c>
      <x:c r="H1" s="65" t="str">
        <x:v>Legal &amp; Source Controls</x:v>
      </x:c>
      <x:c r="I1" s="65" t="str">
        <x:v>Legal &amp; Source Controls</x:v>
      </x:c>
      <x:c r="J1" s="65" t="str">
        <x:v>Legal &amp; Source Controls</x:v>
      </x:c>
      <x:c r="K1" s="65" t="str">
        <x:v>Legal &amp; Source Controls</x:v>
      </x:c>
      <x:c r="L1" s="65" t="str">
        <x:v>Legal &amp; Source Controls</x:v>
      </x:c>
      <x:c r="M1" s="65" t="str">
        <x:v>Legal &amp; Source Controls</x:v>
      </x:c>
      <x:c r="N1" s="65" t="str">
        <x:v>Legal &amp; Source Controls</x:v>
      </x:c>
    </x:row>
    <x:row r="2" ht="30" customHeight="1">
      <x:c r="A2" s="59" t="str">
        <x:v>Operational outreach guardrails for Austria. This workbook is not legal advice; obtain a current professional review before sending.</x:v>
      </x:c>
      <x:c r="B2" s="59" t="str">
        <x:v>Operational outreach guardrails for Austria. This workbook is not legal advice; obtain a current professional review before sending.</x:v>
      </x:c>
      <x:c r="C2" s="59" t="str">
        <x:v>Operational outreach guardrails for Austria. This workbook is not legal advice; obtain a current professional review before sending.</x:v>
      </x:c>
      <x:c r="D2" s="59" t="str">
        <x:v>Operational outreach guardrails for Austria. This workbook is not legal advice; obtain a current professional review before sending.</x:v>
      </x:c>
      <x:c r="E2" s="59" t="str">
        <x:v>Operational outreach guardrails for Austria. This workbook is not legal advice; obtain a current professional review before sending.</x:v>
      </x:c>
      <x:c r="F2" s="59" t="str">
        <x:v>Operational outreach guardrails for Austria. This workbook is not legal advice; obtain a current professional review before sending.</x:v>
      </x:c>
      <x:c r="G2" s="59" t="str">
        <x:v>Operational outreach guardrails for Austria. This workbook is not legal advice; obtain a current professional review before sending.</x:v>
      </x:c>
      <x:c r="H2" s="59" t="str">
        <x:v>Operational outreach guardrails for Austria. This workbook is not legal advice; obtain a current professional review before sending.</x:v>
      </x:c>
      <x:c r="I2" s="59" t="str">
        <x:v>Operational outreach guardrails for Austria. This workbook is not legal advice; obtain a current professional review before sending.</x:v>
      </x:c>
      <x:c r="J2" s="59" t="str">
        <x:v>Operational outreach guardrails for Austria. This workbook is not legal advice; obtain a current professional review before sending.</x:v>
      </x:c>
      <x:c r="K2" s="59" t="str">
        <x:v>Operational outreach guardrails for Austria. This workbook is not legal advice; obtain a current professional review before sending.</x:v>
      </x:c>
      <x:c r="L2" s="59" t="str">
        <x:v>Operational outreach guardrails for Austria. This workbook is not legal advice; obtain a current professional review before sending.</x:v>
      </x:c>
      <x:c r="M2" s="59" t="str">
        <x:v>Operational outreach guardrails for Austria. This workbook is not legal advice; obtain a current professional review before sending.</x:v>
      </x:c>
      <x:c r="N2" s="59" t="str">
        <x:v>Operational outreach guardrails for Austria. This workbook is not legal advice; obtain a current professional review before sending.</x:v>
      </x:c>
    </x:row>
    <x:row r="3">
      <x:c r="A3" s="60"/>
      <x:c r="B3" s="60"/>
      <x:c r="C3" s="60"/>
      <x:c r="D3" s="60"/>
      <x:c r="E3" s="60"/>
      <x:c r="F3" s="60"/>
      <x:c r="G3" s="60"/>
      <x:c r="H3" s="60"/>
      <x:c r="I3" s="60"/>
      <x:c r="J3" s="60"/>
      <x:c r="K3" s="60"/>
      <x:c r="L3" s="60"/>
      <x:c r="M3" s="60"/>
      <x:c r="N3" s="60"/>
    </x:row>
    <x:row r="4" ht="64" customHeight="1">
      <x:c r="A4" s="79" t="str">
        <x:v>Control</x:v>
      </x:c>
      <x:c r="B4" s="79" t="str">
        <x:v>Working rule</x:v>
      </x:c>
      <x:c r="C4" s="79" t="str">
        <x:v>Why</x:v>
      </x:c>
      <x:c r="D4" s="79" t="str">
        <x:v>Action</x:v>
      </x:c>
      <x:c r="E4" s="79" t="str">
        <x:v>Primary source</x:v>
      </x:c>
      <x:c r="F4" s="60"/>
      <x:c r="G4" s="60"/>
      <x:c r="H4" s="60"/>
      <x:c r="I4" s="60"/>
      <x:c r="J4" s="60"/>
      <x:c r="K4" s="60"/>
      <x:c r="L4" s="60"/>
      <x:c r="M4" s="60"/>
      <x:c r="N4" s="60"/>
    </x:row>
    <x:row r="5" ht="64" customHeight="1">
      <x:c r="A5" s="62" t="str">
        <x:v>Unsolicited email</x:v>
      </x:c>
      <x:c r="B5" s="62" t="str">
        <x:v>Do not send marketing email without prior consent or a reviewed exception</x:v>
      </x:c>
      <x:c r="C5" s="62" t="str">
        <x:v>A public business email is not consent</x:v>
      </x:c>
      <x:c r="D5" s="62" t="str">
        <x:v>Use warm, postal, in-person or explicitly invited routes; document permission</x:v>
      </x:c>
      <x:c r="E5" s="62" t="str">
        <x:v>https://www.wko.at/information-consulting/werbung-marktkommunikation/werbung-per-telefon-fax-e-mail-sms-was-ist-erlaubt</x:v>
      </x:c>
      <x:c r="F5" s="60"/>
      <x:c r="G5" s="60"/>
      <x:c r="H5" s="60"/>
      <x:c r="I5" s="60"/>
      <x:c r="J5" s="60"/>
      <x:c r="K5" s="60"/>
      <x:c r="L5" s="60"/>
      <x:c r="M5" s="60"/>
      <x:c r="N5" s="60"/>
    </x:row>
    <x:row r="6" ht="64" customHeight="1">
      <x:c r="A6" s="62" t="str">
        <x:v>Consent request</x:v>
      </x:c>
      <x:c r="B6" s="62" t="str">
        <x:v>Do not use an unsolicited email or call merely to ask for consent</x:v>
      </x:c>
      <x:c r="C6" s="62" t="str">
        <x:v>The initial contact can itself fall within the restriction</x:v>
      </x:c>
      <x:c r="D6" s="62" t="str">
        <x:v>Seek permission through a lawful offline, inbound or explicitly invited route</x:v>
      </x:c>
      <x:c r="E6" s="62" t="str">
        <x:v>https://www.wko.at/internetrecht/e-mails-versenden--aber-richtig</x:v>
      </x:c>
      <x:c r="F6" s="60"/>
      <x:c r="G6" s="60"/>
      <x:c r="H6" s="60"/>
      <x:c r="I6" s="60"/>
      <x:c r="J6" s="60"/>
      <x:c r="K6" s="60"/>
      <x:c r="L6" s="60"/>
      <x:c r="M6" s="60"/>
      <x:c r="N6" s="60"/>
    </x:row>
    <x:row r="7" ht="64" customHeight="1">
      <x:c r="A7" s="62" t="str">
        <x:v>Public contact details</x:v>
      </x:c>
      <x:c r="B7" s="62" t="str">
        <x:v>Treat a listed address as contact research, not sending authority</x:v>
      </x:c>
      <x:c r="C7" s="62" t="str">
        <x:v>Publication for business contact does not establish marketing consent</x:v>
      </x:c>
      <x:c r="D7" s="62" t="str">
        <x:v>Keep Permission signal and First route separate</x:v>
      </x:c>
      <x:c r="E7" s="62" t="str">
        <x:v>https://www.wko.at/internetrecht/e-mails-versenden--aber-richtig</x:v>
      </x:c>
      <x:c r="F7" s="60"/>
      <x:c r="G7" s="60"/>
      <x:c r="H7" s="60"/>
      <x:c r="I7" s="60"/>
      <x:c r="J7" s="60"/>
      <x:c r="K7" s="60"/>
      <x:c r="L7" s="60"/>
      <x:c r="M7" s="60"/>
      <x:c r="N7" s="60"/>
    </x:row>
    <x:row r="8" ht="64" customHeight="1">
      <x:c r="A8" s="62" t="str">
        <x:v>Partnership inbox</x:v>
      </x:c>
      <x:c r="B8" s="62" t="str">
        <x:v>An explicit partnership invitation is a stronger route, but check purpose</x:v>
      </x:c>
      <x:c r="C8" s="62" t="str">
        <x:v>The invitation may be limited to a particular type of proposal</x:v>
      </x:c>
      <x:c r="D8" s="62" t="str">
        <x:v>Re-open the page immediately before use and save the evidence</x:v>
      </x:c>
      <x:c r="E8" s="62" t="str">
        <x:v>https://www.wko.at/oe/internetrecht/checklistetkg.pdf</x:v>
      </x:c>
      <x:c r="F8" s="60"/>
      <x:c r="G8" s="60"/>
      <x:c r="H8" s="60"/>
      <x:c r="I8" s="60"/>
      <x:c r="J8" s="60"/>
      <x:c r="K8" s="60"/>
      <x:c r="L8" s="60"/>
      <x:c r="M8" s="60"/>
      <x:c r="N8" s="60"/>
    </x:row>
    <x:row r="9" ht="64" customHeight="1">
      <x:c r="A9" s="62" t="str">
        <x:v>Suppression / objections</x:v>
      </x:c>
      <x:c r="B9" s="62" t="str">
        <x:v>Stop and record any objection, mismatch or do-not-contact request</x:v>
      </x:c>
      <x:c r="C9" s="62" t="str">
        <x:v>Repeated contact creates legal and reputation risk</x:v>
      </x:c>
      <x:c r="D9" s="62" t="str">
        <x:v>Maintain a suppression status in the lead sheet</x:v>
      </x:c>
      <x:c r="E9" s="62" t="str">
        <x:v>https://www.wko.at/oe/internetrecht/checklistetkg.pdf</x:v>
      </x:c>
      <x:c r="F9" s="60"/>
      <x:c r="G9" s="60"/>
      <x:c r="H9" s="60"/>
      <x:c r="I9" s="60"/>
      <x:c r="J9" s="60"/>
      <x:c r="K9" s="60"/>
      <x:c r="L9" s="60"/>
      <x:c r="M9" s="60"/>
      <x:c r="N9" s="60"/>
    </x:row>
    <x:row r="10" ht="64" customHeight="1">
      <x:c r="A10" s="62" t="str">
        <x:v>Event content rights</x:v>
      </x:c>
      <x:c r="B10" s="62" t="str">
        <x:v>Use facts and original descriptions; do not copy source prose or images</x:v>
      </x:c>
      <x:c r="C10" s="62" t="str">
        <x:v>Okolo's product and repository rules require facts plus linkback</x:v>
      </x:c>
      <x:c r="D10" s="62" t="str">
        <x:v>Agree authorised data, asset rights and update responsibilities</x:v>
      </x:c>
      <x:c r="E10" s="62" t="str">
        <x:v>Repository AGENTS.md and approved partner agreement</x:v>
      </x:c>
      <x:c r="F10" s="60"/>
      <x:c r="G10" s="60"/>
      <x:c r="H10" s="60"/>
      <x:c r="I10" s="60"/>
      <x:c r="J10" s="60"/>
      <x:c r="K10" s="60"/>
      <x:c r="L10" s="60"/>
      <x:c r="M10" s="60"/>
      <x:c r="N10" s="60"/>
    </x:row>
    <x:row r="11" ht="64" customHeight="1">
      <x:c r="A11" s="62" t="str">
        <x:v>Measurement claims</x:v>
      </x:c>
      <x:c r="B11" s="62" t="str">
        <x:v>Report only defined-period product actions and outbound referrals</x:v>
      </x:c>
      <x:c r="C11" s="62" t="str">
        <x:v>Ticket sales and broad reach are not currently proven</x:v>
      </x:c>
      <x:c r="D11" s="62" t="str">
        <x:v>State metric, period, timezone and caveat</x:v>
      </x:c>
      <x:c r="E11" s="62" t="str">
        <x:v>docs/ops/advertiser-proof.md</x:v>
      </x:c>
      <x:c r="F11" s="60"/>
      <x:c r="G11" s="60"/>
      <x:c r="H11" s="60"/>
      <x:c r="I11" s="60"/>
      <x:c r="J11" s="60"/>
      <x:c r="K11" s="60"/>
      <x:c r="L11" s="60"/>
      <x:c r="M11" s="60"/>
      <x:c r="N11" s="60"/>
    </x:row>
    <x:row r="12" ht="64" customHeight="1">
      <x:c r="A12" s="60"/>
      <x:c r="B12" s="60"/>
      <x:c r="C12" s="60"/>
      <x:c r="D12" s="60"/>
      <x:c r="E12" s="60"/>
      <x:c r="F12" s="60"/>
      <x:c r="G12" s="60"/>
      <x:c r="H12" s="60"/>
      <x:c r="I12" s="60"/>
      <x:c r="J12" s="60"/>
      <x:c r="K12" s="60"/>
      <x:c r="L12" s="60"/>
      <x:c r="M12" s="60"/>
      <x:c r="N12" s="60"/>
    </x:row>
    <x:row r="13" ht="64" customHeight="1">
      <x:c r="A13" s="79" t="str">
        <x:v>Asset / source</x:v>
      </x:c>
      <x:c r="B13" s="79" t="str">
        <x:v>Purpose</x:v>
      </x:c>
      <x:c r="C13" s="79" t="str">
        <x:v>URL / path</x:v>
      </x:c>
      <x:c r="D13" s="79" t="str">
        <x:v>Verified</x:v>
      </x:c>
      <x:c r="E13" s="79" t="str">
        <x:v>Notes</x:v>
      </x:c>
      <x:c r="F13" s="60"/>
      <x:c r="G13" s="60"/>
      <x:c r="H13" s="60"/>
      <x:c r="I13" s="60"/>
      <x:c r="J13" s="60"/>
      <x:c r="K13" s="60"/>
      <x:c r="L13" s="60"/>
      <x:c r="M13" s="60"/>
      <x:c r="N13" s="60"/>
    </x:row>
    <x:row r="14" ht="64" customHeight="1">
      <x:c r="A14" s="62" t="str">
        <x:v>Okolo live map</x:v>
      </x:c>
      <x:c r="B14" s="62" t="str">
        <x:v>Core product evidence</x:v>
      </x:c>
      <x:c r="C14" s="62" t="str">
        <x:v>https://www.okolo.events</x:v>
      </x:c>
      <x:c r="D14" s="62" t="str">
        <x:v>2026-08-30</x:v>
      </x:c>
      <x:c r="E14" s="62" t="str">
        <x:v>Use screenshot 01</x:v>
      </x:c>
      <x:c r="F14" s="60"/>
      <x:c r="G14" s="60"/>
      <x:c r="H14" s="60"/>
      <x:c r="I14" s="60"/>
      <x:c r="J14" s="60"/>
      <x:c r="K14" s="60"/>
      <x:c r="L14" s="60"/>
      <x:c r="M14" s="60"/>
      <x:c r="N14" s="60"/>
    </x:row>
    <x:row r="15" ht="64" customHeight="1">
      <x:c r="A15" s="62" t="str">
        <x:v>Partner offer</x:v>
      </x:c>
      <x:c r="B15" s="62" t="str">
        <x:v>Commercial offer evidence</x:v>
      </x:c>
      <x:c r="C15" s="62" t="str">
        <x:v>https://www.okolo.events/partners</x:v>
      </x:c>
      <x:c r="D15" s="62" t="str">
        <x:v>2026-08-30</x:v>
      </x:c>
      <x:c r="E15" s="62" t="str">
        <x:v>Use screenshot 04</x:v>
      </x:c>
      <x:c r="F15" s="60"/>
      <x:c r="G15" s="60"/>
      <x:c r="H15" s="60"/>
      <x:c r="I15" s="60"/>
      <x:c r="J15" s="60"/>
      <x:c r="K15" s="60"/>
      <x:c r="L15" s="60"/>
      <x:c r="M15" s="60"/>
      <x:c r="N15" s="60"/>
    </x:row>
    <x:row r="16" ht="64" customHeight="1">
      <x:c r="A16" s="62" t="str">
        <x:v>Partner demo</x:v>
      </x:c>
      <x:c r="B16" s="62" t="str">
        <x:v>Interactive product example</x:v>
      </x:c>
      <x:c r="C16" s="62" t="str">
        <x:v>https://www.okolo.events/partners/demo</x:v>
      </x:c>
      <x:c r="D16" s="62" t="str">
        <x:v>2026-08-30</x:v>
      </x:c>
      <x:c r="E16" s="62" t="str">
        <x:v>Fictional; use screenshot 02</x:v>
      </x:c>
      <x:c r="F16" s="60"/>
      <x:c r="G16" s="60"/>
      <x:c r="H16" s="60"/>
      <x:c r="I16" s="60"/>
      <x:c r="J16" s="60"/>
      <x:c r="K16" s="60"/>
      <x:c r="L16" s="60"/>
      <x:c r="M16" s="60"/>
      <x:c r="N16" s="60"/>
    </x:row>
    <x:row r="17" ht="64" customHeight="1">
      <x:c r="A17" s="62" t="str">
        <x:v>City page</x:v>
      </x:c>
      <x:c r="B17" s="62" t="str">
        <x:v>Regional inventory evidence</x:v>
      </x:c>
      <x:c r="C17" s="62" t="str">
        <x:v>https://www.okolo.events/events/linz</x:v>
      </x:c>
      <x:c r="D17" s="62" t="str">
        <x:v>2026-08-30</x:v>
      </x:c>
      <x:c r="E17" s="62" t="str">
        <x:v>Do not turn counts into a reach claim</x:v>
      </x:c>
      <x:c r="F17" s="60"/>
      <x:c r="G17" s="60"/>
      <x:c r="H17" s="60"/>
      <x:c r="I17" s="60"/>
      <x:c r="J17" s="60"/>
      <x:c r="K17" s="60"/>
      <x:c r="L17" s="60"/>
      <x:c r="M17" s="60"/>
      <x:c r="N17" s="60"/>
    </x:row>
    <x:row r="18" ht="64" customHeight="1">
      <x:c r="A18" s="62" t="str">
        <x:v>Weekend page</x:v>
      </x:c>
      <x:c r="B18" s="62" t="str">
        <x:v>Editorial discovery evidence</x:v>
      </x:c>
      <x:c r="C18" s="62" t="str">
        <x:v>https://www.okolo.events/weekend/linz</x:v>
      </x:c>
      <x:c r="D18" s="62" t="str">
        <x:v>2026-08-30</x:v>
      </x:c>
      <x:c r="E18" s="62" t="str">
        <x:v>Use as product context</x:v>
      </x:c>
      <x:c r="F18" s="60"/>
      <x:c r="G18" s="60"/>
      <x:c r="H18" s="60"/>
      <x:c r="I18" s="60"/>
      <x:c r="J18" s="60"/>
      <x:c r="K18" s="60"/>
      <x:c r="L18" s="60"/>
      <x:c r="M18" s="60"/>
      <x:c r="N18" s="60"/>
    </x:row>
    <x:row r="19" ht="64" customHeight="1">
      <x:c r="A19" s="62" t="str">
        <x:v>WKO email/phone guidance</x:v>
      </x:c>
      <x:c r="B19" s="62" t="str">
        <x:v>Current Austrian outreach guidance</x:v>
      </x:c>
      <x:c r="C19" s="62" t="str">
        <x:v>https://www.wko.at/information-consulting/werbung-marktkommunikation/werbung-per-telefon-fax-e-mail-sms-was-ist-erlaubt</x:v>
      </x:c>
      <x:c r="D19" s="62" t="str">
        <x:v>2026-08-30</x:v>
      </x:c>
      <x:c r="E19" s="62" t="str">
        <x:v>Review before campaign</x:v>
      </x:c>
      <x:c r="F19" s="60"/>
      <x:c r="G19" s="60"/>
      <x:c r="H19" s="60"/>
      <x:c r="I19" s="60"/>
      <x:c r="J19" s="60"/>
      <x:c r="K19" s="60"/>
      <x:c r="L19" s="60"/>
      <x:c r="M19" s="60"/>
      <x:c r="N19" s="60"/>
    </x:row>
    <x:row r="20" ht="64" customHeight="1">
      <x:c r="A20" s="62" t="str">
        <x:v>WKO email detail</x:v>
      </x:c>
      <x:c r="B20" s="62" t="str">
        <x:v>Consent and public-address guidance</x:v>
      </x:c>
      <x:c r="C20" s="62" t="str">
        <x:v>https://www.wko.at/internetrecht/e-mails-versenden--aber-richtig</x:v>
      </x:c>
      <x:c r="D20" s="62" t="str">
        <x:v>2026-08-30</x:v>
      </x:c>
      <x:c r="E20" s="62" t="str">
        <x:v>Review before campaign</x:v>
      </x:c>
      <x:c r="F20" s="60"/>
      <x:c r="G20" s="60"/>
      <x:c r="H20" s="60"/>
      <x:c r="I20" s="60"/>
      <x:c r="J20" s="60"/>
      <x:c r="K20" s="60"/>
      <x:c r="L20" s="60"/>
      <x:c r="M20" s="60"/>
      <x:c r="N20" s="60"/>
    </x:row>
    <x:row r="21" ht="64" customHeight="1">
      <x:c r="A21" s="62" t="str">
        <x:v>WKO TKG checklist</x:v>
      </x:c>
      <x:c r="B21" s="62" t="str">
        <x:v>Operational checklist</x:v>
      </x:c>
      <x:c r="C21" s="62" t="str">
        <x:v>https://www.wko.at/oe/internetrecht/checklistetkg.pdf</x:v>
      </x:c>
      <x:c r="D21" s="62" t="str">
        <x:v>2026-08-30</x:v>
      </x:c>
      <x:c r="E21" s="62" t="str">
        <x:v>Review before campaign</x:v>
      </x:c>
      <x:c r="F21" s="60"/>
      <x:c r="G21" s="60"/>
      <x:c r="H21" s="60"/>
      <x:c r="I21" s="60"/>
      <x:c r="J21" s="60"/>
      <x:c r="K21" s="60"/>
      <x:c r="L21" s="60"/>
      <x:c r="M21" s="60"/>
      <x:c r="N21" s="60"/>
    </x:row>
    <x:row r="22" ht="64" customHeight="1">
      <x:c r="A22" s="62" t="str">
        <x:v>Full written package</x:v>
      </x:c>
      <x:c r="B22" s="62" t="str">
        <x:v>Audit, offer, iterations and final copy</x:v>
      </x:c>
      <x:c r="C22" s="62" t="str">
        <x:v>/Users/georgikostov/Repositories/eventmap/outputs/sales-outreach-2026-08-30/okolo-b2b-sales-package.md</x:v>
      </x:c>
      <x:c r="D22" s="62" t="str">
        <x:v>2026-08-30</x:v>
      </x:c>
      <x:c r="E22" s="62" t="str">
        <x:v>Companion document</x:v>
      </x:c>
      <x:c r="F22" s="60"/>
      <x:c r="G22" s="60"/>
      <x:c r="H22" s="60"/>
      <x:c r="I22" s="60"/>
      <x:c r="J22" s="60"/>
      <x:c r="K22" s="60"/>
      <x:c r="L22" s="60"/>
      <x:c r="M22" s="60"/>
      <x:c r="N22" s="60"/>
    </x:row>
  </x:sheetData>
  <x:mergeCells>
    <x:mergeCell ref="A1:N1"/>
    <x:mergeCell ref="A2:N2"/>
  </x:mergeCells>
  <x:pageMargins left="0.7" right="0.7" top="0.75" bottom="0.75" header="0.3" footer="0.3"/>
</x:worksheet>
</file>